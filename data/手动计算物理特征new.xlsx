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EFC632DC-C5C0-45EB-9C85-7108474BC9E9}" xr6:coauthVersionLast="47" xr6:coauthVersionMax="47" xr10:uidLastSave="{00000000-0000-0000-0000-000000000000}"/>
  <bookViews>
    <workbookView xWindow="-108" yWindow="-108" windowWidth="30936" windowHeight="16896" xr2:uid="{CEA3C417-07B3-4D32-A249-37806A7262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3" i="1"/>
  <c r="P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3" i="1"/>
  <c r="N3" i="1" s="1"/>
  <c r="L39" i="1"/>
  <c r="L51" i="1"/>
  <c r="L63" i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3" i="1"/>
  <c r="L3" i="1" s="1"/>
  <c r="J4" i="1"/>
  <c r="J28" i="1"/>
  <c r="J39" i="1"/>
  <c r="J40" i="1"/>
  <c r="J64" i="1"/>
  <c r="J74" i="1"/>
  <c r="J75" i="1"/>
  <c r="I4" i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I40" i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I75" i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3" i="1"/>
  <c r="J3" i="1" s="1"/>
</calcChain>
</file>

<file path=xl/sharedStrings.xml><?xml version="1.0" encoding="utf-8"?>
<sst xmlns="http://schemas.openxmlformats.org/spreadsheetml/2006/main" count="15" uniqueCount="15">
  <si>
    <t>Ga</t>
  </si>
  <si>
    <t>Sn</t>
  </si>
  <si>
    <t>Zn</t>
  </si>
  <si>
    <t>VEC</t>
  </si>
  <si>
    <t>ΔVEC</t>
  </si>
  <si>
    <t>ΔTm</t>
  </si>
  <si>
    <t>Δr</t>
  </si>
  <si>
    <t>χ</t>
  </si>
  <si>
    <t>Δχ</t>
  </si>
  <si>
    <t>In</t>
    <phoneticPr fontId="1" type="noConversion"/>
  </si>
  <si>
    <t>r</t>
    <phoneticPr fontId="1" type="noConversion"/>
  </si>
  <si>
    <t>Tm</t>
    <phoneticPr fontId="1" type="noConversion"/>
  </si>
  <si>
    <t xml:space="preserve">sintering temperature </t>
    <phoneticPr fontId="1" type="noConversion"/>
  </si>
  <si>
    <t>holding time</t>
    <phoneticPr fontId="1" type="noConversion"/>
  </si>
  <si>
    <t>resistivity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</si>
</sst>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0F11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DD98-3DB4-4B1B-BAAB-4ADC6F97B860}">
  <dimension ref="E2:S88"/>
  <sheetViews>
    <sheetView tabSelected="1" topLeftCell="A19" workbookViewId="0">
      <selection activeCell="T31" sqref="T31"/>
    </sheetView>
  </sheetViews>
  <sheetFormatPr defaultRowHeight="13.8" x14ac:dyDescent="0.25"/>
  <cols>
    <col min="5" max="9" width="9" bestFit="1" customWidth="1"/>
    <col min="10" max="10" width="14.77734375" bestFit="1" customWidth="1"/>
    <col min="11" max="11" width="10" bestFit="1" customWidth="1"/>
    <col min="12" max="12" width="14.88671875" bestFit="1" customWidth="1"/>
    <col min="13" max="13" width="10" bestFit="1" customWidth="1"/>
    <col min="14" max="14" width="14.88671875" bestFit="1" customWidth="1"/>
    <col min="15" max="15" width="9" bestFit="1" customWidth="1"/>
    <col min="16" max="16" width="11.21875" bestFit="1" customWidth="1"/>
    <col min="17" max="17" width="31" customWidth="1"/>
    <col min="18" max="18" width="19.77734375" customWidth="1"/>
    <col min="19" max="19" width="15.88671875" customWidth="1"/>
  </cols>
  <sheetData>
    <row r="2" spans="5:19" ht="18" x14ac:dyDescent="0.25">
      <c r="E2" s="1" t="s">
        <v>9</v>
      </c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11</v>
      </c>
      <c r="L2" s="1" t="s">
        <v>5</v>
      </c>
      <c r="M2" s="1" t="s">
        <v>10</v>
      </c>
      <c r="N2" s="1" t="s">
        <v>6</v>
      </c>
      <c r="O2" s="1" t="s">
        <v>7</v>
      </c>
      <c r="P2" s="1" t="s">
        <v>8</v>
      </c>
      <c r="Q2" s="2" t="s">
        <v>12</v>
      </c>
      <c r="R2" s="2" t="s">
        <v>13</v>
      </c>
      <c r="S2" s="2" t="s">
        <v>14</v>
      </c>
    </row>
    <row r="3" spans="5:19" ht="18" x14ac:dyDescent="0.25">
      <c r="E3" s="1">
        <v>0.7</v>
      </c>
      <c r="F3" s="1">
        <v>0.3</v>
      </c>
      <c r="G3" s="1">
        <v>0</v>
      </c>
      <c r="H3" s="1">
        <v>0</v>
      </c>
      <c r="I3" s="1">
        <f>E3*3+F3*3+G3*4+H3*2</f>
        <v>2.9999999999999996</v>
      </c>
      <c r="J3" s="2">
        <f>SQRT(E3*(3-I3)^2+F3*(3-I3)^2+G3*(4-I3)^2+H3*(2-I3)^2)</f>
        <v>4.4408920985006262E-16</v>
      </c>
      <c r="K3" s="2">
        <f>(E3*429.75)+(F3*302.91)+(G3*505.08)+(H3*692.68)</f>
        <v>391.69799999999998</v>
      </c>
      <c r="L3" s="2">
        <f>SQRT(E3*(429.75-K3)^2+F3*(302.91-K3)^2+G3*(505.08-K3)^2+H3*(692.68-K3)^2)</f>
        <v>58.125390114819858</v>
      </c>
      <c r="M3" s="2">
        <f>(E3*167)+(F3*135)+(G3*140)+(H3*134)</f>
        <v>157.39999999999998</v>
      </c>
      <c r="N3" s="2">
        <f>SQRT(E3*(1-167/M3)^2+F3*(1-135/M3)^2+G3*(1-140/M3)^2+H3*(1-134/M3)^2)*100</f>
        <v>9.3165452502278807</v>
      </c>
      <c r="O3" s="2">
        <f>(E3*1.78)+(F3*1.81)+(G3*1.96)+(H3*1.65)</f>
        <v>1.7890000000000001</v>
      </c>
      <c r="P3" s="2">
        <f>SQRT(E3*(1.78-O3)^2+F3*(1.81-O3)^2+G3*(1.96-O3)^2+H3*(1.65-O3)^2)</f>
        <v>1.3747727084867531E-2</v>
      </c>
      <c r="Q3" s="3">
        <v>1250</v>
      </c>
      <c r="R3" s="2">
        <v>20</v>
      </c>
      <c r="S3" s="2">
        <v>47.77</v>
      </c>
    </row>
    <row r="4" spans="5:19" ht="18" x14ac:dyDescent="0.25">
      <c r="E4" s="1">
        <v>0.7</v>
      </c>
      <c r="F4" s="1">
        <v>0.3</v>
      </c>
      <c r="G4" s="1">
        <v>0</v>
      </c>
      <c r="H4" s="1">
        <v>0</v>
      </c>
      <c r="I4" s="1">
        <f t="shared" ref="I4:I35" si="0">E4*3+F4*3+G4*4+H4*2</f>
        <v>2.9999999999999996</v>
      </c>
      <c r="J4" s="2">
        <f t="shared" ref="J4:J35" si="1">SQRT(E4*(3-I4)^2+F4*(3-I4)^2+G4*(4-I4)^2+H4*(2-I4)^2)</f>
        <v>4.4408920985006262E-16</v>
      </c>
      <c r="K4" s="2">
        <f t="shared" ref="K4:K35" si="2">(E4*429.75)+(F4*302.91)+(G4*505.08)+(H4*692.68)</f>
        <v>391.69799999999998</v>
      </c>
      <c r="L4" s="2">
        <f t="shared" ref="L4:L35" si="3">SQRT(E4*(429.75-K4)^2+F4*(302.91-K4)^2+G4*(505.08-K4)^2+H4*(692.68-K4)^2)</f>
        <v>58.125390114819858</v>
      </c>
      <c r="M4" s="2">
        <f t="shared" ref="M4:M35" si="4">(E4*167)+(F4*135)+(G4*140)+(H4*134)</f>
        <v>157.39999999999998</v>
      </c>
      <c r="N4" s="2">
        <f t="shared" ref="N4:N35" si="5">SQRT(E4*(1-167/M4)^2+F4*(1-135/M4)^2+G4*(1-140/M4)^2+H4*(1-134/M4)^2)*100</f>
        <v>9.3165452502278807</v>
      </c>
      <c r="O4" s="2">
        <f t="shared" ref="O4:O35" si="6">(E4*1.78)+(F4*1.81)+(G4*1.96)+(H4*1.65)</f>
        <v>1.7890000000000001</v>
      </c>
      <c r="P4" s="2">
        <f t="shared" ref="P4:P35" si="7">SQRT(E4*(1.78-O4)^2+F4*(1.81-O4)^2+G4*(1.96-O4)^2+H4*(1.65-O4)^2)</f>
        <v>1.3747727084867531E-2</v>
      </c>
      <c r="Q4" s="3">
        <v>1600</v>
      </c>
      <c r="R4" s="2">
        <v>20</v>
      </c>
      <c r="S4" s="2">
        <v>28.47</v>
      </c>
    </row>
    <row r="5" spans="5:19" ht="18" x14ac:dyDescent="0.25">
      <c r="E5" s="1">
        <v>0.7</v>
      </c>
      <c r="F5" s="1">
        <v>0.25</v>
      </c>
      <c r="G5" s="1">
        <v>0.05</v>
      </c>
      <c r="H5" s="1">
        <v>0</v>
      </c>
      <c r="I5" s="1">
        <f t="shared" si="0"/>
        <v>3.05</v>
      </c>
      <c r="J5" s="2">
        <f t="shared" si="1"/>
        <v>0.21794494717703367</v>
      </c>
      <c r="K5" s="2">
        <f t="shared" si="2"/>
        <v>401.80650000000003</v>
      </c>
      <c r="L5" s="2">
        <f t="shared" si="3"/>
        <v>59.371606452495442</v>
      </c>
      <c r="M5" s="2">
        <f t="shared" si="4"/>
        <v>157.64999999999998</v>
      </c>
      <c r="N5" s="2">
        <f t="shared" si="5"/>
        <v>9.082639627484058</v>
      </c>
      <c r="O5" s="2">
        <f t="shared" si="6"/>
        <v>1.7965000000000002</v>
      </c>
      <c r="P5" s="2">
        <f t="shared" si="7"/>
        <v>3.9657912199206849E-2</v>
      </c>
      <c r="Q5" s="3">
        <v>1250</v>
      </c>
      <c r="R5" s="2">
        <v>20</v>
      </c>
      <c r="S5" s="2">
        <v>1.3</v>
      </c>
    </row>
    <row r="6" spans="5:19" ht="18" x14ac:dyDescent="0.25">
      <c r="E6" s="1">
        <v>0.7</v>
      </c>
      <c r="F6" s="1">
        <v>0.25</v>
      </c>
      <c r="G6" s="1">
        <v>0.05</v>
      </c>
      <c r="H6" s="1">
        <v>0</v>
      </c>
      <c r="I6" s="1">
        <f t="shared" si="0"/>
        <v>3.05</v>
      </c>
      <c r="J6" s="2">
        <f t="shared" si="1"/>
        <v>0.21794494717703367</v>
      </c>
      <c r="K6" s="2">
        <f t="shared" si="2"/>
        <v>401.80650000000003</v>
      </c>
      <c r="L6" s="2">
        <f t="shared" si="3"/>
        <v>59.371606452495442</v>
      </c>
      <c r="M6" s="2">
        <f t="shared" si="4"/>
        <v>157.64999999999998</v>
      </c>
      <c r="N6" s="2">
        <f t="shared" si="5"/>
        <v>9.082639627484058</v>
      </c>
      <c r="O6" s="2">
        <f t="shared" si="6"/>
        <v>1.7965000000000002</v>
      </c>
      <c r="P6" s="2">
        <f t="shared" si="7"/>
        <v>3.9657912199206849E-2</v>
      </c>
      <c r="Q6" s="3">
        <v>1350</v>
      </c>
      <c r="R6" s="2">
        <v>20</v>
      </c>
      <c r="S6" s="2">
        <v>1.4</v>
      </c>
    </row>
    <row r="7" spans="5:19" ht="18" x14ac:dyDescent="0.25">
      <c r="E7" s="1">
        <v>0.7</v>
      </c>
      <c r="F7" s="1">
        <v>0.25</v>
      </c>
      <c r="G7" s="1">
        <v>0.05</v>
      </c>
      <c r="H7" s="1">
        <v>0</v>
      </c>
      <c r="I7" s="1">
        <f t="shared" si="0"/>
        <v>3.05</v>
      </c>
      <c r="J7" s="2">
        <f t="shared" si="1"/>
        <v>0.21794494717703367</v>
      </c>
      <c r="K7" s="2">
        <f t="shared" si="2"/>
        <v>401.80650000000003</v>
      </c>
      <c r="L7" s="2">
        <f t="shared" si="3"/>
        <v>59.371606452495442</v>
      </c>
      <c r="M7" s="2">
        <f t="shared" si="4"/>
        <v>157.64999999999998</v>
      </c>
      <c r="N7" s="2">
        <f t="shared" si="5"/>
        <v>9.082639627484058</v>
      </c>
      <c r="O7" s="2">
        <f t="shared" si="6"/>
        <v>1.7965000000000002</v>
      </c>
      <c r="P7" s="2">
        <f t="shared" si="7"/>
        <v>3.9657912199206849E-2</v>
      </c>
      <c r="Q7" s="3">
        <v>1450</v>
      </c>
      <c r="R7" s="2">
        <v>20</v>
      </c>
      <c r="S7" s="2">
        <v>1</v>
      </c>
    </row>
    <row r="8" spans="5:19" ht="18" x14ac:dyDescent="0.25">
      <c r="E8" s="1">
        <v>0.7</v>
      </c>
      <c r="F8" s="1">
        <v>0.25</v>
      </c>
      <c r="G8" s="1">
        <v>0.05</v>
      </c>
      <c r="H8" s="1">
        <v>0</v>
      </c>
      <c r="I8" s="1">
        <f t="shared" si="0"/>
        <v>3.05</v>
      </c>
      <c r="J8" s="2">
        <f t="shared" si="1"/>
        <v>0.21794494717703367</v>
      </c>
      <c r="K8" s="2">
        <f t="shared" si="2"/>
        <v>401.80650000000003</v>
      </c>
      <c r="L8" s="2">
        <f t="shared" si="3"/>
        <v>59.371606452495442</v>
      </c>
      <c r="M8" s="2">
        <f t="shared" si="4"/>
        <v>157.64999999999998</v>
      </c>
      <c r="N8" s="2">
        <f t="shared" si="5"/>
        <v>9.082639627484058</v>
      </c>
      <c r="O8" s="2">
        <f t="shared" si="6"/>
        <v>1.7965000000000002</v>
      </c>
      <c r="P8" s="2">
        <f t="shared" si="7"/>
        <v>3.9657912199206849E-2</v>
      </c>
      <c r="Q8" s="3">
        <v>1550</v>
      </c>
      <c r="R8" s="2">
        <v>20</v>
      </c>
      <c r="S8" s="2">
        <v>0.55000000000000004</v>
      </c>
    </row>
    <row r="9" spans="5:19" ht="18" x14ac:dyDescent="0.25">
      <c r="E9" s="1">
        <v>0.7</v>
      </c>
      <c r="F9" s="1">
        <v>0.25</v>
      </c>
      <c r="G9" s="1">
        <v>0.05</v>
      </c>
      <c r="H9" s="1">
        <v>0</v>
      </c>
      <c r="I9" s="1">
        <f t="shared" si="0"/>
        <v>3.05</v>
      </c>
      <c r="J9" s="2">
        <f t="shared" si="1"/>
        <v>0.21794494717703367</v>
      </c>
      <c r="K9" s="2">
        <f t="shared" si="2"/>
        <v>401.80650000000003</v>
      </c>
      <c r="L9" s="2">
        <f t="shared" si="3"/>
        <v>59.371606452495442</v>
      </c>
      <c r="M9" s="2">
        <f t="shared" si="4"/>
        <v>157.64999999999998</v>
      </c>
      <c r="N9" s="2">
        <f t="shared" si="5"/>
        <v>9.082639627484058</v>
      </c>
      <c r="O9" s="2">
        <f t="shared" si="6"/>
        <v>1.7965000000000002</v>
      </c>
      <c r="P9" s="2">
        <f t="shared" si="7"/>
        <v>3.9657912199206849E-2</v>
      </c>
      <c r="Q9" s="3">
        <v>1600</v>
      </c>
      <c r="R9" s="2">
        <v>20</v>
      </c>
      <c r="S9" s="2">
        <v>0.6</v>
      </c>
    </row>
    <row r="10" spans="5:19" ht="18" x14ac:dyDescent="0.25">
      <c r="E10" s="1">
        <v>0.7</v>
      </c>
      <c r="F10" s="1">
        <v>0.05</v>
      </c>
      <c r="G10" s="1">
        <v>0.25</v>
      </c>
      <c r="H10" s="1">
        <v>0</v>
      </c>
      <c r="I10" s="1">
        <f t="shared" si="0"/>
        <v>3.2499999999999996</v>
      </c>
      <c r="J10" s="2">
        <f t="shared" si="1"/>
        <v>0.4330127018922193</v>
      </c>
      <c r="K10" s="2">
        <f t="shared" si="2"/>
        <v>442.2405</v>
      </c>
      <c r="L10" s="2">
        <f t="shared" si="3"/>
        <v>45.464919605669593</v>
      </c>
      <c r="M10" s="2">
        <f t="shared" si="4"/>
        <v>158.64999999999998</v>
      </c>
      <c r="N10" s="2">
        <f t="shared" si="5"/>
        <v>8.0653039483892943</v>
      </c>
      <c r="O10" s="2">
        <f t="shared" si="6"/>
        <v>1.8265</v>
      </c>
      <c r="P10" s="2">
        <f t="shared" si="7"/>
        <v>7.7348238506122394E-2</v>
      </c>
      <c r="Q10" s="3">
        <v>1250</v>
      </c>
      <c r="R10" s="2">
        <v>20</v>
      </c>
      <c r="S10" s="2">
        <v>6.53</v>
      </c>
    </row>
    <row r="11" spans="5:19" ht="18" x14ac:dyDescent="0.25">
      <c r="E11" s="1">
        <v>0.7</v>
      </c>
      <c r="F11" s="1">
        <v>0.05</v>
      </c>
      <c r="G11" s="1">
        <v>0.25</v>
      </c>
      <c r="H11" s="1">
        <v>0</v>
      </c>
      <c r="I11" s="1">
        <f t="shared" si="0"/>
        <v>3.2499999999999996</v>
      </c>
      <c r="J11" s="2">
        <f t="shared" si="1"/>
        <v>0.4330127018922193</v>
      </c>
      <c r="K11" s="2">
        <f t="shared" si="2"/>
        <v>442.2405</v>
      </c>
      <c r="L11" s="2">
        <f t="shared" si="3"/>
        <v>45.464919605669593</v>
      </c>
      <c r="M11" s="2">
        <f t="shared" si="4"/>
        <v>158.64999999999998</v>
      </c>
      <c r="N11" s="2">
        <f t="shared" si="5"/>
        <v>8.0653039483892943</v>
      </c>
      <c r="O11" s="2">
        <f t="shared" si="6"/>
        <v>1.8265</v>
      </c>
      <c r="P11" s="2">
        <f t="shared" si="7"/>
        <v>7.7348238506122394E-2</v>
      </c>
      <c r="Q11" s="3">
        <v>1350</v>
      </c>
      <c r="R11" s="2">
        <v>20</v>
      </c>
      <c r="S11" s="2">
        <v>0.9</v>
      </c>
    </row>
    <row r="12" spans="5:19" ht="18" x14ac:dyDescent="0.25">
      <c r="E12" s="1">
        <v>0.7</v>
      </c>
      <c r="F12" s="1">
        <v>0.05</v>
      </c>
      <c r="G12" s="1">
        <v>0.25</v>
      </c>
      <c r="H12" s="1">
        <v>0</v>
      </c>
      <c r="I12" s="1">
        <f t="shared" si="0"/>
        <v>3.2499999999999996</v>
      </c>
      <c r="J12" s="2">
        <f t="shared" si="1"/>
        <v>0.4330127018922193</v>
      </c>
      <c r="K12" s="2">
        <f t="shared" si="2"/>
        <v>442.2405</v>
      </c>
      <c r="L12" s="2">
        <f t="shared" si="3"/>
        <v>45.464919605669593</v>
      </c>
      <c r="M12" s="2">
        <f t="shared" si="4"/>
        <v>158.64999999999998</v>
      </c>
      <c r="N12" s="2">
        <f t="shared" si="5"/>
        <v>8.0653039483892943</v>
      </c>
      <c r="O12" s="2">
        <f t="shared" si="6"/>
        <v>1.8265</v>
      </c>
      <c r="P12" s="2">
        <f t="shared" si="7"/>
        <v>7.7348238506122394E-2</v>
      </c>
      <c r="Q12" s="3">
        <v>1450</v>
      </c>
      <c r="R12" s="2">
        <v>20</v>
      </c>
      <c r="S12" s="2">
        <v>0.73</v>
      </c>
    </row>
    <row r="13" spans="5:19" ht="18" x14ac:dyDescent="0.25">
      <c r="E13" s="1">
        <v>0.7</v>
      </c>
      <c r="F13" s="1">
        <v>0.05</v>
      </c>
      <c r="G13" s="1">
        <v>0.25</v>
      </c>
      <c r="H13" s="1">
        <v>0</v>
      </c>
      <c r="I13" s="1">
        <f t="shared" si="0"/>
        <v>3.2499999999999996</v>
      </c>
      <c r="J13" s="2">
        <f t="shared" si="1"/>
        <v>0.4330127018922193</v>
      </c>
      <c r="K13" s="2">
        <f t="shared" si="2"/>
        <v>442.2405</v>
      </c>
      <c r="L13" s="2">
        <f t="shared" si="3"/>
        <v>45.464919605669593</v>
      </c>
      <c r="M13" s="2">
        <f t="shared" si="4"/>
        <v>158.64999999999998</v>
      </c>
      <c r="N13" s="2">
        <f t="shared" si="5"/>
        <v>8.0653039483892943</v>
      </c>
      <c r="O13" s="2">
        <f t="shared" si="6"/>
        <v>1.8265</v>
      </c>
      <c r="P13" s="2">
        <f t="shared" si="7"/>
        <v>7.7348238506122394E-2</v>
      </c>
      <c r="Q13" s="3">
        <v>1550</v>
      </c>
      <c r="R13" s="2">
        <v>20</v>
      </c>
      <c r="S13" s="2">
        <v>1</v>
      </c>
    </row>
    <row r="14" spans="5:19" ht="18" x14ac:dyDescent="0.25">
      <c r="E14" s="1">
        <v>0.7</v>
      </c>
      <c r="F14" s="1">
        <v>0.05</v>
      </c>
      <c r="G14" s="1">
        <v>0.25</v>
      </c>
      <c r="H14" s="1">
        <v>0</v>
      </c>
      <c r="I14" s="1">
        <f t="shared" si="0"/>
        <v>3.2499999999999996</v>
      </c>
      <c r="J14" s="2">
        <f t="shared" si="1"/>
        <v>0.4330127018922193</v>
      </c>
      <c r="K14" s="2">
        <f t="shared" si="2"/>
        <v>442.2405</v>
      </c>
      <c r="L14" s="2">
        <f t="shared" si="3"/>
        <v>45.464919605669593</v>
      </c>
      <c r="M14" s="2">
        <f t="shared" si="4"/>
        <v>158.64999999999998</v>
      </c>
      <c r="N14" s="2">
        <f t="shared" si="5"/>
        <v>8.0653039483892943</v>
      </c>
      <c r="O14" s="2">
        <f t="shared" si="6"/>
        <v>1.8265</v>
      </c>
      <c r="P14" s="2">
        <f t="shared" si="7"/>
        <v>7.7348238506122394E-2</v>
      </c>
      <c r="Q14" s="3">
        <v>1600</v>
      </c>
      <c r="R14" s="2">
        <v>20</v>
      </c>
      <c r="S14" s="2">
        <v>0.7</v>
      </c>
    </row>
    <row r="15" spans="5:19" ht="18" x14ac:dyDescent="0.25">
      <c r="E15" s="1">
        <v>0.7</v>
      </c>
      <c r="F15" s="1">
        <v>0.15</v>
      </c>
      <c r="G15" s="1">
        <v>0.15</v>
      </c>
      <c r="H15" s="1">
        <v>0</v>
      </c>
      <c r="I15" s="1">
        <f t="shared" si="0"/>
        <v>3.15</v>
      </c>
      <c r="J15" s="2">
        <f t="shared" si="1"/>
        <v>0.35707142142714249</v>
      </c>
      <c r="K15" s="2">
        <f t="shared" si="2"/>
        <v>422.02350000000001</v>
      </c>
      <c r="L15" s="2">
        <f t="shared" si="3"/>
        <v>56.610514683669841</v>
      </c>
      <c r="M15" s="2">
        <f t="shared" si="4"/>
        <v>158.14999999999998</v>
      </c>
      <c r="N15" s="2">
        <f t="shared" si="5"/>
        <v>8.5916979048391529</v>
      </c>
      <c r="O15" s="2">
        <f t="shared" si="6"/>
        <v>1.8115000000000001</v>
      </c>
      <c r="P15" s="2">
        <f t="shared" si="7"/>
        <v>6.3267290126889392E-2</v>
      </c>
      <c r="Q15" s="3">
        <v>1350</v>
      </c>
      <c r="R15" s="2">
        <v>20</v>
      </c>
      <c r="S15" s="2">
        <v>1.25</v>
      </c>
    </row>
    <row r="16" spans="5:19" ht="18" x14ac:dyDescent="0.25">
      <c r="E16" s="1">
        <v>0.7</v>
      </c>
      <c r="F16" s="1">
        <v>0.15</v>
      </c>
      <c r="G16" s="1">
        <v>0.15</v>
      </c>
      <c r="H16" s="1">
        <v>0</v>
      </c>
      <c r="I16" s="1">
        <f t="shared" si="0"/>
        <v>3.15</v>
      </c>
      <c r="J16" s="2">
        <f t="shared" si="1"/>
        <v>0.35707142142714249</v>
      </c>
      <c r="K16" s="2">
        <f t="shared" si="2"/>
        <v>422.02350000000001</v>
      </c>
      <c r="L16" s="2">
        <f t="shared" si="3"/>
        <v>56.610514683669841</v>
      </c>
      <c r="M16" s="2">
        <f t="shared" si="4"/>
        <v>158.14999999999998</v>
      </c>
      <c r="N16" s="2">
        <f t="shared" si="5"/>
        <v>8.5916979048391529</v>
      </c>
      <c r="O16" s="2">
        <f t="shared" si="6"/>
        <v>1.8115000000000001</v>
      </c>
      <c r="P16" s="2">
        <f t="shared" si="7"/>
        <v>6.3267290126889392E-2</v>
      </c>
      <c r="Q16" s="3">
        <v>1450</v>
      </c>
      <c r="R16" s="2">
        <v>20</v>
      </c>
      <c r="S16" s="2">
        <v>0.64</v>
      </c>
    </row>
    <row r="17" spans="5:19" ht="18" x14ac:dyDescent="0.25">
      <c r="E17" s="1">
        <v>0.7</v>
      </c>
      <c r="F17" s="1">
        <v>0.15</v>
      </c>
      <c r="G17" s="1">
        <v>0.15</v>
      </c>
      <c r="H17" s="1">
        <v>0</v>
      </c>
      <c r="I17" s="1">
        <f t="shared" si="0"/>
        <v>3.15</v>
      </c>
      <c r="J17" s="2">
        <f t="shared" si="1"/>
        <v>0.35707142142714249</v>
      </c>
      <c r="K17" s="2">
        <f t="shared" si="2"/>
        <v>422.02350000000001</v>
      </c>
      <c r="L17" s="2">
        <f t="shared" si="3"/>
        <v>56.610514683669841</v>
      </c>
      <c r="M17" s="2">
        <f t="shared" si="4"/>
        <v>158.14999999999998</v>
      </c>
      <c r="N17" s="2">
        <f t="shared" si="5"/>
        <v>8.5916979048391529</v>
      </c>
      <c r="O17" s="2">
        <f t="shared" si="6"/>
        <v>1.8115000000000001</v>
      </c>
      <c r="P17" s="2">
        <f t="shared" si="7"/>
        <v>6.3267290126889392E-2</v>
      </c>
      <c r="Q17" s="3">
        <v>1550</v>
      </c>
      <c r="R17" s="2">
        <v>20</v>
      </c>
      <c r="S17" s="2">
        <v>0.62</v>
      </c>
    </row>
    <row r="18" spans="5:19" ht="18" x14ac:dyDescent="0.25">
      <c r="E18" s="1">
        <v>0.7</v>
      </c>
      <c r="F18" s="1">
        <v>0.1</v>
      </c>
      <c r="G18" s="1">
        <v>0.2</v>
      </c>
      <c r="H18" s="1">
        <v>0</v>
      </c>
      <c r="I18" s="1">
        <f t="shared" si="0"/>
        <v>3.1999999999999993</v>
      </c>
      <c r="J18" s="2">
        <f t="shared" si="1"/>
        <v>0.4</v>
      </c>
      <c r="K18" s="2">
        <f t="shared" si="2"/>
        <v>432.13200000000001</v>
      </c>
      <c r="L18" s="2">
        <f t="shared" si="3"/>
        <v>52.326727549121578</v>
      </c>
      <c r="M18" s="2">
        <f t="shared" si="4"/>
        <v>158.39999999999998</v>
      </c>
      <c r="N18" s="2">
        <f t="shared" si="5"/>
        <v>8.3333333333333375</v>
      </c>
      <c r="O18" s="2">
        <f t="shared" si="6"/>
        <v>1.819</v>
      </c>
      <c r="P18" s="2">
        <f t="shared" si="7"/>
        <v>7.1056315693962036E-2</v>
      </c>
      <c r="Q18" s="3">
        <v>1350</v>
      </c>
      <c r="R18" s="2">
        <v>20</v>
      </c>
      <c r="S18" s="2">
        <v>0.62</v>
      </c>
    </row>
    <row r="19" spans="5:19" ht="18" x14ac:dyDescent="0.25">
      <c r="E19" s="1">
        <v>0.7</v>
      </c>
      <c r="F19" s="1">
        <v>0.1</v>
      </c>
      <c r="G19" s="1">
        <v>0.2</v>
      </c>
      <c r="H19" s="1">
        <v>0</v>
      </c>
      <c r="I19" s="1">
        <f t="shared" si="0"/>
        <v>3.1999999999999993</v>
      </c>
      <c r="J19" s="2">
        <f t="shared" si="1"/>
        <v>0.4</v>
      </c>
      <c r="K19" s="2">
        <f t="shared" si="2"/>
        <v>432.13200000000001</v>
      </c>
      <c r="L19" s="2">
        <f t="shared" si="3"/>
        <v>52.326727549121578</v>
      </c>
      <c r="M19" s="2">
        <f t="shared" si="4"/>
        <v>158.39999999999998</v>
      </c>
      <c r="N19" s="2">
        <f t="shared" si="5"/>
        <v>8.3333333333333375</v>
      </c>
      <c r="O19" s="2">
        <f t="shared" si="6"/>
        <v>1.819</v>
      </c>
      <c r="P19" s="2">
        <f t="shared" si="7"/>
        <v>7.1056315693962036E-2</v>
      </c>
      <c r="Q19" s="3">
        <v>1450</v>
      </c>
      <c r="R19" s="2">
        <v>20</v>
      </c>
      <c r="S19" s="2">
        <v>0.42</v>
      </c>
    </row>
    <row r="20" spans="5:19" ht="18" x14ac:dyDescent="0.25">
      <c r="E20" s="1">
        <v>0.7</v>
      </c>
      <c r="F20" s="1">
        <v>0.1</v>
      </c>
      <c r="G20" s="1">
        <v>0.2</v>
      </c>
      <c r="H20" s="1">
        <v>0</v>
      </c>
      <c r="I20" s="1">
        <f t="shared" si="0"/>
        <v>3.1999999999999993</v>
      </c>
      <c r="J20" s="2">
        <f t="shared" si="1"/>
        <v>0.4</v>
      </c>
      <c r="K20" s="2">
        <f t="shared" si="2"/>
        <v>432.13200000000001</v>
      </c>
      <c r="L20" s="2">
        <f t="shared" si="3"/>
        <v>52.326727549121578</v>
      </c>
      <c r="M20" s="2">
        <f t="shared" si="4"/>
        <v>158.39999999999998</v>
      </c>
      <c r="N20" s="2">
        <f t="shared" si="5"/>
        <v>8.3333333333333375</v>
      </c>
      <c r="O20" s="2">
        <f t="shared" si="6"/>
        <v>1.819</v>
      </c>
      <c r="P20" s="2">
        <f t="shared" si="7"/>
        <v>7.1056315693962036E-2</v>
      </c>
      <c r="Q20" s="3">
        <v>1550</v>
      </c>
      <c r="R20" s="2">
        <v>20</v>
      </c>
      <c r="S20" s="2">
        <v>0.4</v>
      </c>
    </row>
    <row r="21" spans="5:19" ht="18" x14ac:dyDescent="0.25">
      <c r="E21" s="1">
        <v>0.7</v>
      </c>
      <c r="F21" s="1">
        <v>0.2</v>
      </c>
      <c r="G21" s="1">
        <v>0.1</v>
      </c>
      <c r="H21" s="1">
        <v>0</v>
      </c>
      <c r="I21" s="1">
        <f t="shared" si="0"/>
        <v>3.0999999999999996</v>
      </c>
      <c r="J21" s="2">
        <f t="shared" si="1"/>
        <v>0.30000000000000004</v>
      </c>
      <c r="K21" s="2">
        <f t="shared" si="2"/>
        <v>411.91499999999996</v>
      </c>
      <c r="L21" s="2">
        <f t="shared" si="3"/>
        <v>58.881667647919066</v>
      </c>
      <c r="M21" s="2">
        <f t="shared" si="4"/>
        <v>157.89999999999998</v>
      </c>
      <c r="N21" s="2">
        <f t="shared" si="5"/>
        <v>8.8412291680537916</v>
      </c>
      <c r="O21" s="2">
        <f t="shared" si="6"/>
        <v>1.804</v>
      </c>
      <c r="P21" s="2">
        <f t="shared" si="7"/>
        <v>5.3329166503893521E-2</v>
      </c>
      <c r="Q21" s="3">
        <v>1350</v>
      </c>
      <c r="R21" s="2">
        <v>20</v>
      </c>
      <c r="S21" s="2">
        <v>1.27</v>
      </c>
    </row>
    <row r="22" spans="5:19" ht="18" x14ac:dyDescent="0.25">
      <c r="E22" s="1">
        <v>0.7</v>
      </c>
      <c r="F22" s="1">
        <v>0.2</v>
      </c>
      <c r="G22" s="1">
        <v>0.1</v>
      </c>
      <c r="H22" s="1">
        <v>0</v>
      </c>
      <c r="I22" s="1">
        <f t="shared" si="0"/>
        <v>3.0999999999999996</v>
      </c>
      <c r="J22" s="2">
        <f t="shared" si="1"/>
        <v>0.30000000000000004</v>
      </c>
      <c r="K22" s="2">
        <f t="shared" si="2"/>
        <v>411.91499999999996</v>
      </c>
      <c r="L22" s="2">
        <f t="shared" si="3"/>
        <v>58.881667647919066</v>
      </c>
      <c r="M22" s="2">
        <f t="shared" si="4"/>
        <v>157.89999999999998</v>
      </c>
      <c r="N22" s="2">
        <f t="shared" si="5"/>
        <v>8.8412291680537916</v>
      </c>
      <c r="O22" s="2">
        <f t="shared" si="6"/>
        <v>1.804</v>
      </c>
      <c r="P22" s="2">
        <f t="shared" si="7"/>
        <v>5.3329166503893521E-2</v>
      </c>
      <c r="Q22" s="3">
        <v>1450</v>
      </c>
      <c r="R22" s="2">
        <v>20</v>
      </c>
      <c r="S22" s="2">
        <v>0.82</v>
      </c>
    </row>
    <row r="23" spans="5:19" ht="18" x14ac:dyDescent="0.25">
      <c r="E23" s="1">
        <v>0.7</v>
      </c>
      <c r="F23" s="1">
        <v>0.2</v>
      </c>
      <c r="G23" s="1">
        <v>0.1</v>
      </c>
      <c r="H23" s="1">
        <v>0</v>
      </c>
      <c r="I23" s="1">
        <f t="shared" si="0"/>
        <v>3.0999999999999996</v>
      </c>
      <c r="J23" s="2">
        <f t="shared" si="1"/>
        <v>0.30000000000000004</v>
      </c>
      <c r="K23" s="2">
        <f t="shared" si="2"/>
        <v>411.91499999999996</v>
      </c>
      <c r="L23" s="2">
        <f t="shared" si="3"/>
        <v>58.881667647919066</v>
      </c>
      <c r="M23" s="2">
        <f t="shared" si="4"/>
        <v>157.89999999999998</v>
      </c>
      <c r="N23" s="2">
        <f t="shared" si="5"/>
        <v>8.8412291680537916</v>
      </c>
      <c r="O23" s="2">
        <f t="shared" si="6"/>
        <v>1.804</v>
      </c>
      <c r="P23" s="2">
        <f t="shared" si="7"/>
        <v>5.3329166503893521E-2</v>
      </c>
      <c r="Q23" s="3">
        <v>1550</v>
      </c>
      <c r="R23" s="2">
        <v>20</v>
      </c>
      <c r="S23" s="2">
        <v>0.79</v>
      </c>
    </row>
    <row r="24" spans="5:19" ht="18" x14ac:dyDescent="0.25">
      <c r="E24" s="1">
        <v>0.7</v>
      </c>
      <c r="F24" s="1">
        <v>0.15</v>
      </c>
      <c r="G24" s="1">
        <v>0.15</v>
      </c>
      <c r="H24" s="1">
        <v>0</v>
      </c>
      <c r="I24" s="1">
        <f t="shared" si="0"/>
        <v>3.15</v>
      </c>
      <c r="J24" s="2">
        <f t="shared" si="1"/>
        <v>0.35707142142714249</v>
      </c>
      <c r="K24" s="2">
        <f t="shared" si="2"/>
        <v>422.02350000000001</v>
      </c>
      <c r="L24" s="2">
        <f t="shared" si="3"/>
        <v>56.610514683669841</v>
      </c>
      <c r="M24" s="2">
        <f t="shared" si="4"/>
        <v>158.14999999999998</v>
      </c>
      <c r="N24" s="2">
        <f t="shared" si="5"/>
        <v>8.5916979048391529</v>
      </c>
      <c r="O24" s="2">
        <f t="shared" si="6"/>
        <v>1.8115000000000001</v>
      </c>
      <c r="P24" s="2">
        <f t="shared" si="7"/>
        <v>6.3267290126889392E-2</v>
      </c>
      <c r="Q24" s="3">
        <v>1450</v>
      </c>
      <c r="R24" s="2">
        <v>0.5</v>
      </c>
      <c r="S24" s="2">
        <v>1.02</v>
      </c>
    </row>
    <row r="25" spans="5:19" ht="18" x14ac:dyDescent="0.25">
      <c r="E25" s="1">
        <v>0.7</v>
      </c>
      <c r="F25" s="1">
        <v>0.15</v>
      </c>
      <c r="G25" s="1">
        <v>0.15</v>
      </c>
      <c r="H25" s="1">
        <v>0</v>
      </c>
      <c r="I25" s="1">
        <f t="shared" si="0"/>
        <v>3.15</v>
      </c>
      <c r="J25" s="2">
        <f t="shared" si="1"/>
        <v>0.35707142142714249</v>
      </c>
      <c r="K25" s="2">
        <f t="shared" si="2"/>
        <v>422.02350000000001</v>
      </c>
      <c r="L25" s="2">
        <f t="shared" si="3"/>
        <v>56.610514683669841</v>
      </c>
      <c r="M25" s="2">
        <f t="shared" si="4"/>
        <v>158.14999999999998</v>
      </c>
      <c r="N25" s="2">
        <f t="shared" si="5"/>
        <v>8.5916979048391529</v>
      </c>
      <c r="O25" s="2">
        <f t="shared" si="6"/>
        <v>1.8115000000000001</v>
      </c>
      <c r="P25" s="2">
        <f t="shared" si="7"/>
        <v>6.3267290126889392E-2</v>
      </c>
      <c r="Q25" s="3">
        <v>1450</v>
      </c>
      <c r="R25" s="2">
        <v>10</v>
      </c>
      <c r="S25" s="2">
        <v>0.81</v>
      </c>
    </row>
    <row r="26" spans="5:19" ht="18" x14ac:dyDescent="0.25">
      <c r="E26" s="1">
        <v>0.7</v>
      </c>
      <c r="F26" s="1">
        <v>0.1</v>
      </c>
      <c r="G26" s="1">
        <v>0.2</v>
      </c>
      <c r="H26" s="1">
        <v>0</v>
      </c>
      <c r="I26" s="1">
        <f t="shared" si="0"/>
        <v>3.1999999999999993</v>
      </c>
      <c r="J26" s="2">
        <f t="shared" si="1"/>
        <v>0.4</v>
      </c>
      <c r="K26" s="2">
        <f t="shared" si="2"/>
        <v>432.13200000000001</v>
      </c>
      <c r="L26" s="2">
        <f t="shared" si="3"/>
        <v>52.326727549121578</v>
      </c>
      <c r="M26" s="2">
        <f t="shared" si="4"/>
        <v>158.39999999999998</v>
      </c>
      <c r="N26" s="2">
        <f t="shared" si="5"/>
        <v>8.3333333333333375</v>
      </c>
      <c r="O26" s="2">
        <f t="shared" si="6"/>
        <v>1.819</v>
      </c>
      <c r="P26" s="2">
        <f t="shared" si="7"/>
        <v>7.1056315693962036E-2</v>
      </c>
      <c r="Q26" s="3">
        <v>1450</v>
      </c>
      <c r="R26" s="2">
        <v>0.5</v>
      </c>
      <c r="S26" s="2">
        <v>0.42</v>
      </c>
    </row>
    <row r="27" spans="5:19" ht="18" x14ac:dyDescent="0.25">
      <c r="E27" s="1">
        <v>0.7</v>
      </c>
      <c r="F27" s="1">
        <v>0.1</v>
      </c>
      <c r="G27" s="1">
        <v>0.2</v>
      </c>
      <c r="H27" s="1">
        <v>0</v>
      </c>
      <c r="I27" s="1">
        <f t="shared" si="0"/>
        <v>3.1999999999999993</v>
      </c>
      <c r="J27" s="2">
        <f t="shared" si="1"/>
        <v>0.4</v>
      </c>
      <c r="K27" s="2">
        <f t="shared" si="2"/>
        <v>432.13200000000001</v>
      </c>
      <c r="L27" s="2">
        <f t="shared" si="3"/>
        <v>52.326727549121578</v>
      </c>
      <c r="M27" s="2">
        <f t="shared" si="4"/>
        <v>158.39999999999998</v>
      </c>
      <c r="N27" s="2">
        <f t="shared" si="5"/>
        <v>8.3333333333333375</v>
      </c>
      <c r="O27" s="2">
        <f t="shared" si="6"/>
        <v>1.819</v>
      </c>
      <c r="P27" s="2">
        <f t="shared" si="7"/>
        <v>7.1056315693962036E-2</v>
      </c>
      <c r="Q27" s="3">
        <v>1450</v>
      </c>
      <c r="R27" s="2">
        <v>10</v>
      </c>
      <c r="S27" s="2">
        <v>0.43</v>
      </c>
    </row>
    <row r="28" spans="5:19" ht="18" x14ac:dyDescent="0.25">
      <c r="E28" s="1">
        <v>0.7</v>
      </c>
      <c r="F28" s="1">
        <v>0.2</v>
      </c>
      <c r="G28" s="1">
        <v>0.1</v>
      </c>
      <c r="H28" s="1">
        <v>0</v>
      </c>
      <c r="I28" s="1">
        <f t="shared" si="0"/>
        <v>3.0999999999999996</v>
      </c>
      <c r="J28" s="2">
        <f t="shared" si="1"/>
        <v>0.30000000000000004</v>
      </c>
      <c r="K28" s="2">
        <f t="shared" si="2"/>
        <v>411.91499999999996</v>
      </c>
      <c r="L28" s="2">
        <f t="shared" si="3"/>
        <v>58.881667647919066</v>
      </c>
      <c r="M28" s="2">
        <f t="shared" si="4"/>
        <v>157.89999999999998</v>
      </c>
      <c r="N28" s="2">
        <f t="shared" si="5"/>
        <v>8.8412291680537916</v>
      </c>
      <c r="O28" s="2">
        <f t="shared" si="6"/>
        <v>1.804</v>
      </c>
      <c r="P28" s="2">
        <f t="shared" si="7"/>
        <v>5.3329166503893521E-2</v>
      </c>
      <c r="Q28" s="3">
        <v>1450</v>
      </c>
      <c r="R28" s="2">
        <v>0.5</v>
      </c>
      <c r="S28" s="2">
        <v>0.93</v>
      </c>
    </row>
    <row r="29" spans="5:19" ht="18" x14ac:dyDescent="0.25">
      <c r="E29" s="1">
        <v>0.7</v>
      </c>
      <c r="F29" s="1">
        <v>0.2</v>
      </c>
      <c r="G29" s="1">
        <v>0.1</v>
      </c>
      <c r="H29" s="1">
        <v>0</v>
      </c>
      <c r="I29" s="1">
        <f t="shared" si="0"/>
        <v>3.0999999999999996</v>
      </c>
      <c r="J29" s="2">
        <f t="shared" si="1"/>
        <v>0.30000000000000004</v>
      </c>
      <c r="K29" s="2">
        <f t="shared" si="2"/>
        <v>411.91499999999996</v>
      </c>
      <c r="L29" s="2">
        <f t="shared" si="3"/>
        <v>58.881667647919066</v>
      </c>
      <c r="M29" s="2">
        <f t="shared" si="4"/>
        <v>157.89999999999998</v>
      </c>
      <c r="N29" s="2">
        <f t="shared" si="5"/>
        <v>8.8412291680537916</v>
      </c>
      <c r="O29" s="2">
        <f t="shared" si="6"/>
        <v>1.804</v>
      </c>
      <c r="P29" s="2">
        <f t="shared" si="7"/>
        <v>5.3329166503893521E-2</v>
      </c>
      <c r="Q29" s="3">
        <v>1450</v>
      </c>
      <c r="R29" s="2">
        <v>10</v>
      </c>
      <c r="S29" s="2">
        <v>0.88</v>
      </c>
    </row>
    <row r="30" spans="5:19" ht="18" x14ac:dyDescent="0.25">
      <c r="E30" s="1">
        <v>0.45</v>
      </c>
      <c r="F30" s="1">
        <v>0</v>
      </c>
      <c r="G30" s="1">
        <v>0.11</v>
      </c>
      <c r="H30" s="1">
        <v>0.44</v>
      </c>
      <c r="I30" s="1">
        <f t="shared" si="0"/>
        <v>2.67</v>
      </c>
      <c r="J30" s="2">
        <f t="shared" si="1"/>
        <v>0.66415359669281326</v>
      </c>
      <c r="K30" s="2">
        <f t="shared" si="2"/>
        <v>553.72550000000001</v>
      </c>
      <c r="L30" s="2">
        <f t="shared" si="3"/>
        <v>125.18963109918487</v>
      </c>
      <c r="M30" s="2">
        <f t="shared" si="4"/>
        <v>149.51000000000002</v>
      </c>
      <c r="N30" s="2">
        <f t="shared" si="5"/>
        <v>10.648190705801365</v>
      </c>
      <c r="O30" s="2">
        <f t="shared" si="6"/>
        <v>1.7425999999999999</v>
      </c>
      <c r="P30" s="2">
        <f t="shared" si="7"/>
        <v>9.7985917355505769E-2</v>
      </c>
      <c r="Q30" s="3">
        <v>1350</v>
      </c>
      <c r="R30" s="2">
        <v>20</v>
      </c>
      <c r="S30" s="2">
        <v>3.52</v>
      </c>
    </row>
    <row r="31" spans="5:19" ht="18" x14ac:dyDescent="0.25">
      <c r="E31" s="1">
        <v>0.45</v>
      </c>
      <c r="F31" s="1">
        <v>0</v>
      </c>
      <c r="G31" s="1">
        <v>0.11</v>
      </c>
      <c r="H31" s="1">
        <v>0.44</v>
      </c>
      <c r="I31" s="1">
        <f t="shared" si="0"/>
        <v>2.67</v>
      </c>
      <c r="J31" s="2">
        <f t="shared" si="1"/>
        <v>0.66415359669281326</v>
      </c>
      <c r="K31" s="2">
        <f t="shared" si="2"/>
        <v>553.72550000000001</v>
      </c>
      <c r="L31" s="2">
        <f t="shared" si="3"/>
        <v>125.18963109918487</v>
      </c>
      <c r="M31" s="2">
        <f t="shared" si="4"/>
        <v>149.51000000000002</v>
      </c>
      <c r="N31" s="2">
        <f t="shared" si="5"/>
        <v>10.648190705801365</v>
      </c>
      <c r="O31" s="2">
        <f t="shared" si="6"/>
        <v>1.7425999999999999</v>
      </c>
      <c r="P31" s="2">
        <f t="shared" si="7"/>
        <v>9.7985917355505769E-2</v>
      </c>
      <c r="Q31" s="3">
        <v>1400</v>
      </c>
      <c r="R31" s="2">
        <v>20</v>
      </c>
      <c r="S31" s="2">
        <v>2.89</v>
      </c>
    </row>
    <row r="32" spans="5:19" ht="18" x14ac:dyDescent="0.25">
      <c r="E32" s="1">
        <v>0.45</v>
      </c>
      <c r="F32" s="1">
        <v>0</v>
      </c>
      <c r="G32" s="1">
        <v>0.11</v>
      </c>
      <c r="H32" s="1">
        <v>0.44</v>
      </c>
      <c r="I32" s="1">
        <f t="shared" si="0"/>
        <v>2.67</v>
      </c>
      <c r="J32" s="2">
        <f t="shared" si="1"/>
        <v>0.66415359669281326</v>
      </c>
      <c r="K32" s="2">
        <f t="shared" si="2"/>
        <v>553.72550000000001</v>
      </c>
      <c r="L32" s="2">
        <f t="shared" si="3"/>
        <v>125.18963109918487</v>
      </c>
      <c r="M32" s="2">
        <f t="shared" si="4"/>
        <v>149.51000000000002</v>
      </c>
      <c r="N32" s="2">
        <f t="shared" si="5"/>
        <v>10.648190705801365</v>
      </c>
      <c r="O32" s="2">
        <f t="shared" si="6"/>
        <v>1.7425999999999999</v>
      </c>
      <c r="P32" s="2">
        <f t="shared" si="7"/>
        <v>9.7985917355505769E-2</v>
      </c>
      <c r="Q32" s="3">
        <v>1450</v>
      </c>
      <c r="R32" s="2">
        <v>0.5</v>
      </c>
      <c r="S32" s="2">
        <v>2.94</v>
      </c>
    </row>
    <row r="33" spans="5:19" ht="18" x14ac:dyDescent="0.25">
      <c r="E33" s="1">
        <v>0.45</v>
      </c>
      <c r="F33" s="1">
        <v>0</v>
      </c>
      <c r="G33" s="1">
        <v>0.11</v>
      </c>
      <c r="H33" s="1">
        <v>0.44</v>
      </c>
      <c r="I33" s="1">
        <f t="shared" si="0"/>
        <v>2.67</v>
      </c>
      <c r="J33" s="2">
        <f t="shared" si="1"/>
        <v>0.66415359669281326</v>
      </c>
      <c r="K33" s="2">
        <f t="shared" si="2"/>
        <v>553.72550000000001</v>
      </c>
      <c r="L33" s="2">
        <f t="shared" si="3"/>
        <v>125.18963109918487</v>
      </c>
      <c r="M33" s="2">
        <f t="shared" si="4"/>
        <v>149.51000000000002</v>
      </c>
      <c r="N33" s="2">
        <f t="shared" si="5"/>
        <v>10.648190705801365</v>
      </c>
      <c r="O33" s="2">
        <f t="shared" si="6"/>
        <v>1.7425999999999999</v>
      </c>
      <c r="P33" s="2">
        <f t="shared" si="7"/>
        <v>9.7985917355505769E-2</v>
      </c>
      <c r="Q33" s="3">
        <v>1450</v>
      </c>
      <c r="R33" s="2">
        <v>5</v>
      </c>
      <c r="S33" s="2">
        <v>2.9</v>
      </c>
    </row>
    <row r="34" spans="5:19" ht="18" x14ac:dyDescent="0.25">
      <c r="E34" s="1">
        <v>0.45</v>
      </c>
      <c r="F34" s="1">
        <v>0</v>
      </c>
      <c r="G34" s="1">
        <v>0.11</v>
      </c>
      <c r="H34" s="1">
        <v>0.44</v>
      </c>
      <c r="I34" s="1">
        <f t="shared" si="0"/>
        <v>2.67</v>
      </c>
      <c r="J34" s="2">
        <f t="shared" si="1"/>
        <v>0.66415359669281326</v>
      </c>
      <c r="K34" s="2">
        <f t="shared" si="2"/>
        <v>553.72550000000001</v>
      </c>
      <c r="L34" s="2">
        <f t="shared" si="3"/>
        <v>125.18963109918487</v>
      </c>
      <c r="M34" s="2">
        <f t="shared" si="4"/>
        <v>149.51000000000002</v>
      </c>
      <c r="N34" s="2">
        <f t="shared" si="5"/>
        <v>10.648190705801365</v>
      </c>
      <c r="O34" s="2">
        <f t="shared" si="6"/>
        <v>1.7425999999999999</v>
      </c>
      <c r="P34" s="2">
        <f t="shared" si="7"/>
        <v>9.7985917355505769E-2</v>
      </c>
      <c r="Q34" s="3">
        <v>1450</v>
      </c>
      <c r="R34" s="2">
        <v>10</v>
      </c>
      <c r="S34" s="2">
        <v>2.5099999999999998</v>
      </c>
    </row>
    <row r="35" spans="5:19" ht="18" x14ac:dyDescent="0.25">
      <c r="E35" s="1">
        <v>0.45</v>
      </c>
      <c r="F35" s="1">
        <v>0</v>
      </c>
      <c r="G35" s="1">
        <v>0.11</v>
      </c>
      <c r="H35" s="1">
        <v>0.44</v>
      </c>
      <c r="I35" s="1">
        <f t="shared" si="0"/>
        <v>2.67</v>
      </c>
      <c r="J35" s="2">
        <f t="shared" si="1"/>
        <v>0.66415359669281326</v>
      </c>
      <c r="K35" s="2">
        <f t="shared" si="2"/>
        <v>553.72550000000001</v>
      </c>
      <c r="L35" s="2">
        <f t="shared" si="3"/>
        <v>125.18963109918487</v>
      </c>
      <c r="M35" s="2">
        <f t="shared" si="4"/>
        <v>149.51000000000002</v>
      </c>
      <c r="N35" s="2">
        <f t="shared" si="5"/>
        <v>10.648190705801365</v>
      </c>
      <c r="O35" s="2">
        <f t="shared" si="6"/>
        <v>1.7425999999999999</v>
      </c>
      <c r="P35" s="2">
        <f t="shared" si="7"/>
        <v>9.7985917355505769E-2</v>
      </c>
      <c r="Q35" s="3">
        <v>1450</v>
      </c>
      <c r="R35" s="2">
        <v>20</v>
      </c>
      <c r="S35" s="2">
        <v>1.89</v>
      </c>
    </row>
    <row r="36" spans="5:19" ht="18" x14ac:dyDescent="0.25">
      <c r="E36" s="1">
        <v>0.45</v>
      </c>
      <c r="F36" s="1">
        <v>0</v>
      </c>
      <c r="G36" s="1">
        <v>0.11</v>
      </c>
      <c r="H36" s="1">
        <v>0.44</v>
      </c>
      <c r="I36" s="1">
        <f t="shared" ref="I36:I88" si="8">E36*3+F36*3+G36*4+H36*2</f>
        <v>2.67</v>
      </c>
      <c r="J36" s="2">
        <f t="shared" ref="J36:J88" si="9">SQRT(E36*(3-I36)^2+F36*(3-I36)^2+G36*(4-I36)^2+H36*(2-I36)^2)</f>
        <v>0.66415359669281326</v>
      </c>
      <c r="K36" s="2">
        <f t="shared" ref="K36:K88" si="10">(E36*429.75)+(F36*302.91)+(G36*505.08)+(H36*692.68)</f>
        <v>553.72550000000001</v>
      </c>
      <c r="L36" s="2">
        <f t="shared" ref="L36:L88" si="11">SQRT(E36*(429.75-K36)^2+F36*(302.91-K36)^2+G36*(505.08-K36)^2+H36*(692.68-K36)^2)</f>
        <v>125.18963109918487</v>
      </c>
      <c r="M36" s="2">
        <f t="shared" ref="M36:M88" si="12">(E36*167)+(F36*135)+(G36*140)+(H36*134)</f>
        <v>149.51000000000002</v>
      </c>
      <c r="N36" s="2">
        <f t="shared" ref="N36:N88" si="13">SQRT(E36*(1-167/M36)^2+F36*(1-135/M36)^2+G36*(1-140/M36)^2+H36*(1-134/M36)^2)*100</f>
        <v>10.648190705801365</v>
      </c>
      <c r="O36" s="2">
        <f t="shared" ref="O36:O88" si="14">(E36*1.78)+(F36*1.81)+(G36*1.96)+(H36*1.65)</f>
        <v>1.7425999999999999</v>
      </c>
      <c r="P36" s="2">
        <f t="shared" ref="P36:P88" si="15">SQRT(E36*(1.78-O36)^2+F36*(1.81-O36)^2+G36*(1.96-O36)^2+H36*(1.65-O36)^2)</f>
        <v>9.7985917355505769E-2</v>
      </c>
      <c r="Q36" s="3">
        <v>1500</v>
      </c>
      <c r="R36" s="2">
        <v>20</v>
      </c>
      <c r="S36" s="2">
        <v>1.93</v>
      </c>
    </row>
    <row r="37" spans="5:19" ht="18" x14ac:dyDescent="0.25">
      <c r="E37" s="1">
        <v>0.56000000000000005</v>
      </c>
      <c r="F37" s="1">
        <v>0</v>
      </c>
      <c r="G37" s="1">
        <v>0.11</v>
      </c>
      <c r="H37" s="1">
        <v>0.33</v>
      </c>
      <c r="I37" s="1">
        <f t="shared" si="8"/>
        <v>2.7800000000000002</v>
      </c>
      <c r="J37" s="2">
        <f t="shared" si="9"/>
        <v>0.62577951388648068</v>
      </c>
      <c r="K37" s="2">
        <f t="shared" si="10"/>
        <v>524.80320000000006</v>
      </c>
      <c r="L37" s="2">
        <f t="shared" si="11"/>
        <v>120.01132098997992</v>
      </c>
      <c r="M37" s="2">
        <f t="shared" si="12"/>
        <v>153.14000000000001</v>
      </c>
      <c r="N37" s="2">
        <f t="shared" si="13"/>
        <v>10.2722176450226</v>
      </c>
      <c r="O37" s="2">
        <f t="shared" si="14"/>
        <v>1.7569000000000001</v>
      </c>
      <c r="P37" s="2">
        <f t="shared" si="15"/>
        <v>9.2776020608775878E-2</v>
      </c>
      <c r="Q37" s="3">
        <v>1350</v>
      </c>
      <c r="R37" s="2">
        <v>20</v>
      </c>
      <c r="S37" s="2">
        <v>1.61</v>
      </c>
    </row>
    <row r="38" spans="5:19" ht="18" x14ac:dyDescent="0.25">
      <c r="E38" s="1">
        <v>0.56000000000000005</v>
      </c>
      <c r="F38" s="1">
        <v>0</v>
      </c>
      <c r="G38" s="1">
        <v>0.11</v>
      </c>
      <c r="H38" s="1">
        <v>0.33</v>
      </c>
      <c r="I38" s="1">
        <f t="shared" si="8"/>
        <v>2.7800000000000002</v>
      </c>
      <c r="J38" s="2">
        <f t="shared" si="9"/>
        <v>0.62577951388648068</v>
      </c>
      <c r="K38" s="2">
        <f t="shared" si="10"/>
        <v>524.80320000000006</v>
      </c>
      <c r="L38" s="2">
        <f t="shared" si="11"/>
        <v>120.01132098997992</v>
      </c>
      <c r="M38" s="2">
        <f t="shared" si="12"/>
        <v>153.14000000000001</v>
      </c>
      <c r="N38" s="2">
        <f t="shared" si="13"/>
        <v>10.2722176450226</v>
      </c>
      <c r="O38" s="2">
        <f t="shared" si="14"/>
        <v>1.7569000000000001</v>
      </c>
      <c r="P38" s="2">
        <f t="shared" si="15"/>
        <v>9.2776020608775878E-2</v>
      </c>
      <c r="Q38" s="3">
        <v>1400</v>
      </c>
      <c r="R38" s="2">
        <v>20</v>
      </c>
      <c r="S38" s="2">
        <v>1.23</v>
      </c>
    </row>
    <row r="39" spans="5:19" ht="18" x14ac:dyDescent="0.25">
      <c r="E39" s="1">
        <v>0.56000000000000005</v>
      </c>
      <c r="F39" s="1">
        <v>0</v>
      </c>
      <c r="G39" s="1">
        <v>0.11</v>
      </c>
      <c r="H39" s="1">
        <v>0.33</v>
      </c>
      <c r="I39" s="1">
        <f t="shared" si="8"/>
        <v>2.7800000000000002</v>
      </c>
      <c r="J39" s="2">
        <f t="shared" si="9"/>
        <v>0.62577951388648068</v>
      </c>
      <c r="K39" s="2">
        <f t="shared" si="10"/>
        <v>524.80320000000006</v>
      </c>
      <c r="L39" s="2">
        <f t="shared" si="11"/>
        <v>120.01132098997992</v>
      </c>
      <c r="M39" s="2">
        <f t="shared" si="12"/>
        <v>153.14000000000001</v>
      </c>
      <c r="N39" s="2">
        <f t="shared" si="13"/>
        <v>10.2722176450226</v>
      </c>
      <c r="O39" s="2">
        <f t="shared" si="14"/>
        <v>1.7569000000000001</v>
      </c>
      <c r="P39" s="2">
        <f t="shared" si="15"/>
        <v>9.2776020608775878E-2</v>
      </c>
      <c r="Q39" s="3">
        <v>1450</v>
      </c>
      <c r="R39" s="2">
        <v>0.5</v>
      </c>
      <c r="S39" s="2">
        <v>1.38</v>
      </c>
    </row>
    <row r="40" spans="5:19" ht="18" x14ac:dyDescent="0.25">
      <c r="E40" s="1">
        <v>0.56000000000000005</v>
      </c>
      <c r="F40" s="1">
        <v>0</v>
      </c>
      <c r="G40" s="1">
        <v>0.11</v>
      </c>
      <c r="H40" s="1">
        <v>0.33</v>
      </c>
      <c r="I40" s="1">
        <f t="shared" si="8"/>
        <v>2.7800000000000002</v>
      </c>
      <c r="J40" s="2">
        <f t="shared" si="9"/>
        <v>0.62577951388648068</v>
      </c>
      <c r="K40" s="2">
        <f t="shared" si="10"/>
        <v>524.80320000000006</v>
      </c>
      <c r="L40" s="2">
        <f t="shared" si="11"/>
        <v>120.01132098997992</v>
      </c>
      <c r="M40" s="2">
        <f t="shared" si="12"/>
        <v>153.14000000000001</v>
      </c>
      <c r="N40" s="2">
        <f t="shared" si="13"/>
        <v>10.2722176450226</v>
      </c>
      <c r="O40" s="2">
        <f t="shared" si="14"/>
        <v>1.7569000000000001</v>
      </c>
      <c r="P40" s="2">
        <f t="shared" si="15"/>
        <v>9.2776020608775878E-2</v>
      </c>
      <c r="Q40" s="3">
        <v>1450</v>
      </c>
      <c r="R40" s="2">
        <v>5</v>
      </c>
      <c r="S40" s="2">
        <v>1.21</v>
      </c>
    </row>
    <row r="41" spans="5:19" ht="18" x14ac:dyDescent="0.25">
      <c r="E41" s="1">
        <v>0.56000000000000005</v>
      </c>
      <c r="F41" s="1">
        <v>0</v>
      </c>
      <c r="G41" s="1">
        <v>0.11</v>
      </c>
      <c r="H41" s="1">
        <v>0.33</v>
      </c>
      <c r="I41" s="1">
        <f t="shared" si="8"/>
        <v>2.7800000000000002</v>
      </c>
      <c r="J41" s="2">
        <f t="shared" si="9"/>
        <v>0.62577951388648068</v>
      </c>
      <c r="K41" s="2">
        <f t="shared" si="10"/>
        <v>524.80320000000006</v>
      </c>
      <c r="L41" s="2">
        <f t="shared" si="11"/>
        <v>120.01132098997992</v>
      </c>
      <c r="M41" s="2">
        <f t="shared" si="12"/>
        <v>153.14000000000001</v>
      </c>
      <c r="N41" s="2">
        <f t="shared" si="13"/>
        <v>10.2722176450226</v>
      </c>
      <c r="O41" s="2">
        <f t="shared" si="14"/>
        <v>1.7569000000000001</v>
      </c>
      <c r="P41" s="2">
        <f t="shared" si="15"/>
        <v>9.2776020608775878E-2</v>
      </c>
      <c r="Q41" s="3">
        <v>1450</v>
      </c>
      <c r="R41" s="2">
        <v>10</v>
      </c>
      <c r="S41" s="2">
        <v>1.01</v>
      </c>
    </row>
    <row r="42" spans="5:19" ht="18" x14ac:dyDescent="0.25">
      <c r="E42" s="1">
        <v>0.56000000000000005</v>
      </c>
      <c r="F42" s="1">
        <v>0</v>
      </c>
      <c r="G42" s="1">
        <v>0.11</v>
      </c>
      <c r="H42" s="1">
        <v>0.33</v>
      </c>
      <c r="I42" s="1">
        <f t="shared" si="8"/>
        <v>2.7800000000000002</v>
      </c>
      <c r="J42" s="2">
        <f t="shared" si="9"/>
        <v>0.62577951388648068</v>
      </c>
      <c r="K42" s="2">
        <f t="shared" si="10"/>
        <v>524.80320000000006</v>
      </c>
      <c r="L42" s="2">
        <f t="shared" si="11"/>
        <v>120.01132098997992</v>
      </c>
      <c r="M42" s="2">
        <f t="shared" si="12"/>
        <v>153.14000000000001</v>
      </c>
      <c r="N42" s="2">
        <f t="shared" si="13"/>
        <v>10.2722176450226</v>
      </c>
      <c r="O42" s="2">
        <f t="shared" si="14"/>
        <v>1.7569000000000001</v>
      </c>
      <c r="P42" s="2">
        <f t="shared" si="15"/>
        <v>9.2776020608775878E-2</v>
      </c>
      <c r="Q42" s="3">
        <v>1450</v>
      </c>
      <c r="R42" s="2">
        <v>20</v>
      </c>
      <c r="S42" s="2">
        <v>0.81</v>
      </c>
    </row>
    <row r="43" spans="5:19" ht="18" x14ac:dyDescent="0.25">
      <c r="E43" s="1">
        <v>0.56000000000000005</v>
      </c>
      <c r="F43" s="1">
        <v>0</v>
      </c>
      <c r="G43" s="1">
        <v>0.11</v>
      </c>
      <c r="H43" s="1">
        <v>0.33</v>
      </c>
      <c r="I43" s="1">
        <f t="shared" si="8"/>
        <v>2.7800000000000002</v>
      </c>
      <c r="J43" s="2">
        <f t="shared" si="9"/>
        <v>0.62577951388648068</v>
      </c>
      <c r="K43" s="2">
        <f t="shared" si="10"/>
        <v>524.80320000000006</v>
      </c>
      <c r="L43" s="2">
        <f t="shared" si="11"/>
        <v>120.01132098997992</v>
      </c>
      <c r="M43" s="2">
        <f t="shared" si="12"/>
        <v>153.14000000000001</v>
      </c>
      <c r="N43" s="2">
        <f t="shared" si="13"/>
        <v>10.2722176450226</v>
      </c>
      <c r="O43" s="2">
        <f t="shared" si="14"/>
        <v>1.7569000000000001</v>
      </c>
      <c r="P43" s="2">
        <f t="shared" si="15"/>
        <v>9.2776020608775878E-2</v>
      </c>
      <c r="Q43" s="3">
        <v>1500</v>
      </c>
      <c r="R43" s="2">
        <v>20</v>
      </c>
      <c r="S43" s="2">
        <v>0.61</v>
      </c>
    </row>
    <row r="44" spans="5:19" ht="18" x14ac:dyDescent="0.25">
      <c r="E44" s="1">
        <v>0.51</v>
      </c>
      <c r="F44" s="1">
        <v>0</v>
      </c>
      <c r="G44" s="1">
        <v>0.15</v>
      </c>
      <c r="H44" s="1">
        <v>0.34</v>
      </c>
      <c r="I44" s="1">
        <f t="shared" si="8"/>
        <v>2.81</v>
      </c>
      <c r="J44" s="2">
        <f t="shared" si="9"/>
        <v>0.67372101050805888</v>
      </c>
      <c r="K44" s="2">
        <f t="shared" si="10"/>
        <v>530.44569999999999</v>
      </c>
      <c r="L44" s="2">
        <f t="shared" si="11"/>
        <v>119.23300802424636</v>
      </c>
      <c r="M44" s="2">
        <f t="shared" si="12"/>
        <v>151.73000000000002</v>
      </c>
      <c r="N44" s="2">
        <f t="shared" si="13"/>
        <v>10.346217093669068</v>
      </c>
      <c r="O44" s="2">
        <f t="shared" si="14"/>
        <v>1.7627999999999999</v>
      </c>
      <c r="P44" s="2">
        <f t="shared" si="15"/>
        <v>0.10153895804074417</v>
      </c>
      <c r="Q44" s="3">
        <v>1350</v>
      </c>
      <c r="R44" s="2">
        <v>20</v>
      </c>
      <c r="S44" s="2">
        <v>5.31</v>
      </c>
    </row>
    <row r="45" spans="5:19" ht="18" x14ac:dyDescent="0.25">
      <c r="E45" s="1">
        <v>0.51</v>
      </c>
      <c r="F45" s="1">
        <v>0</v>
      </c>
      <c r="G45" s="1">
        <v>0.15</v>
      </c>
      <c r="H45" s="1">
        <v>0.34</v>
      </c>
      <c r="I45" s="1">
        <f t="shared" si="8"/>
        <v>2.81</v>
      </c>
      <c r="J45" s="2">
        <f t="shared" si="9"/>
        <v>0.67372101050805888</v>
      </c>
      <c r="K45" s="2">
        <f t="shared" si="10"/>
        <v>530.44569999999999</v>
      </c>
      <c r="L45" s="2">
        <f t="shared" si="11"/>
        <v>119.23300802424636</v>
      </c>
      <c r="M45" s="2">
        <f t="shared" si="12"/>
        <v>151.73000000000002</v>
      </c>
      <c r="N45" s="2">
        <f t="shared" si="13"/>
        <v>10.346217093669068</v>
      </c>
      <c r="O45" s="2">
        <f t="shared" si="14"/>
        <v>1.7627999999999999</v>
      </c>
      <c r="P45" s="2">
        <f t="shared" si="15"/>
        <v>0.10153895804074417</v>
      </c>
      <c r="Q45" s="3">
        <v>1400</v>
      </c>
      <c r="R45" s="2">
        <v>20</v>
      </c>
      <c r="S45" s="2">
        <v>4.8600000000000003</v>
      </c>
    </row>
    <row r="46" spans="5:19" ht="18" x14ac:dyDescent="0.25">
      <c r="E46" s="1">
        <v>0.51</v>
      </c>
      <c r="F46" s="1">
        <v>0</v>
      </c>
      <c r="G46" s="1">
        <v>0.15</v>
      </c>
      <c r="H46" s="1">
        <v>0.34</v>
      </c>
      <c r="I46" s="1">
        <f t="shared" si="8"/>
        <v>2.81</v>
      </c>
      <c r="J46" s="2">
        <f t="shared" si="9"/>
        <v>0.67372101050805888</v>
      </c>
      <c r="K46" s="2">
        <f t="shared" si="10"/>
        <v>530.44569999999999</v>
      </c>
      <c r="L46" s="2">
        <f t="shared" si="11"/>
        <v>119.23300802424636</v>
      </c>
      <c r="M46" s="2">
        <f t="shared" si="12"/>
        <v>151.73000000000002</v>
      </c>
      <c r="N46" s="2">
        <f t="shared" si="13"/>
        <v>10.346217093669068</v>
      </c>
      <c r="O46" s="2">
        <f t="shared" si="14"/>
        <v>1.7627999999999999</v>
      </c>
      <c r="P46" s="2">
        <f t="shared" si="15"/>
        <v>0.10153895804074417</v>
      </c>
      <c r="Q46" s="3">
        <v>1450</v>
      </c>
      <c r="R46" s="2">
        <v>0.5</v>
      </c>
      <c r="S46" s="2">
        <v>5.21</v>
      </c>
    </row>
    <row r="47" spans="5:19" ht="18" x14ac:dyDescent="0.25">
      <c r="E47" s="1">
        <v>0.51</v>
      </c>
      <c r="F47" s="1">
        <v>0</v>
      </c>
      <c r="G47" s="1">
        <v>0.15</v>
      </c>
      <c r="H47" s="1">
        <v>0.34</v>
      </c>
      <c r="I47" s="1">
        <f t="shared" si="8"/>
        <v>2.81</v>
      </c>
      <c r="J47" s="2">
        <f t="shared" si="9"/>
        <v>0.67372101050805888</v>
      </c>
      <c r="K47" s="2">
        <f t="shared" si="10"/>
        <v>530.44569999999999</v>
      </c>
      <c r="L47" s="2">
        <f t="shared" si="11"/>
        <v>119.23300802424636</v>
      </c>
      <c r="M47" s="2">
        <f t="shared" si="12"/>
        <v>151.73000000000002</v>
      </c>
      <c r="N47" s="2">
        <f t="shared" si="13"/>
        <v>10.346217093669068</v>
      </c>
      <c r="O47" s="2">
        <f t="shared" si="14"/>
        <v>1.7627999999999999</v>
      </c>
      <c r="P47" s="2">
        <f t="shared" si="15"/>
        <v>0.10153895804074417</v>
      </c>
      <c r="Q47" s="3">
        <v>1450</v>
      </c>
      <c r="R47" s="2">
        <v>5</v>
      </c>
      <c r="S47" s="2">
        <v>4.51</v>
      </c>
    </row>
    <row r="48" spans="5:19" ht="18" x14ac:dyDescent="0.25">
      <c r="E48" s="1">
        <v>0.51</v>
      </c>
      <c r="F48" s="1">
        <v>0</v>
      </c>
      <c r="G48" s="1">
        <v>0.15</v>
      </c>
      <c r="H48" s="1">
        <v>0.34</v>
      </c>
      <c r="I48" s="1">
        <f t="shared" si="8"/>
        <v>2.81</v>
      </c>
      <c r="J48" s="2">
        <f t="shared" si="9"/>
        <v>0.67372101050805888</v>
      </c>
      <c r="K48" s="2">
        <f t="shared" si="10"/>
        <v>530.44569999999999</v>
      </c>
      <c r="L48" s="2">
        <f t="shared" si="11"/>
        <v>119.23300802424636</v>
      </c>
      <c r="M48" s="2">
        <f t="shared" si="12"/>
        <v>151.73000000000002</v>
      </c>
      <c r="N48" s="2">
        <f t="shared" si="13"/>
        <v>10.346217093669068</v>
      </c>
      <c r="O48" s="2">
        <f t="shared" si="14"/>
        <v>1.7627999999999999</v>
      </c>
      <c r="P48" s="2">
        <f t="shared" si="15"/>
        <v>0.10153895804074417</v>
      </c>
      <c r="Q48" s="3">
        <v>1450</v>
      </c>
      <c r="R48" s="2">
        <v>10</v>
      </c>
      <c r="S48" s="2">
        <v>4.2</v>
      </c>
    </row>
    <row r="49" spans="5:19" ht="18" x14ac:dyDescent="0.25">
      <c r="E49" s="1">
        <v>0.51</v>
      </c>
      <c r="F49" s="1">
        <v>0</v>
      </c>
      <c r="G49" s="1">
        <v>0.15</v>
      </c>
      <c r="H49" s="1">
        <v>0.34</v>
      </c>
      <c r="I49" s="1">
        <f t="shared" si="8"/>
        <v>2.81</v>
      </c>
      <c r="J49" s="2">
        <f t="shared" si="9"/>
        <v>0.67372101050805888</v>
      </c>
      <c r="K49" s="2">
        <f t="shared" si="10"/>
        <v>530.44569999999999</v>
      </c>
      <c r="L49" s="2">
        <f t="shared" si="11"/>
        <v>119.23300802424636</v>
      </c>
      <c r="M49" s="2">
        <f t="shared" si="12"/>
        <v>151.73000000000002</v>
      </c>
      <c r="N49" s="2">
        <f t="shared" si="13"/>
        <v>10.346217093669068</v>
      </c>
      <c r="O49" s="2">
        <f t="shared" si="14"/>
        <v>1.7627999999999999</v>
      </c>
      <c r="P49" s="2">
        <f t="shared" si="15"/>
        <v>0.10153895804074417</v>
      </c>
      <c r="Q49" s="3">
        <v>1450</v>
      </c>
      <c r="R49" s="2">
        <v>20</v>
      </c>
      <c r="S49" s="2">
        <v>4.01</v>
      </c>
    </row>
    <row r="50" spans="5:19" ht="18" x14ac:dyDescent="0.25">
      <c r="E50" s="1">
        <v>0.51</v>
      </c>
      <c r="F50" s="1">
        <v>0</v>
      </c>
      <c r="G50" s="1">
        <v>0.15</v>
      </c>
      <c r="H50" s="1">
        <v>0.34</v>
      </c>
      <c r="I50" s="1">
        <f t="shared" si="8"/>
        <v>2.81</v>
      </c>
      <c r="J50" s="2">
        <f t="shared" si="9"/>
        <v>0.67372101050805888</v>
      </c>
      <c r="K50" s="2">
        <f t="shared" si="10"/>
        <v>530.44569999999999</v>
      </c>
      <c r="L50" s="2">
        <f t="shared" si="11"/>
        <v>119.23300802424636</v>
      </c>
      <c r="M50" s="2">
        <f t="shared" si="12"/>
        <v>151.73000000000002</v>
      </c>
      <c r="N50" s="2">
        <f t="shared" si="13"/>
        <v>10.346217093669068</v>
      </c>
      <c r="O50" s="2">
        <f t="shared" si="14"/>
        <v>1.7627999999999999</v>
      </c>
      <c r="P50" s="2">
        <f t="shared" si="15"/>
        <v>0.10153895804074417</v>
      </c>
      <c r="Q50" s="3">
        <v>1500</v>
      </c>
      <c r="R50" s="2">
        <v>20</v>
      </c>
      <c r="S50" s="2">
        <v>3.95</v>
      </c>
    </row>
    <row r="51" spans="5:19" ht="18" x14ac:dyDescent="0.25">
      <c r="E51" s="1">
        <v>0.71</v>
      </c>
      <c r="F51" s="1">
        <v>0</v>
      </c>
      <c r="G51" s="1">
        <v>0.15</v>
      </c>
      <c r="H51" s="1">
        <v>0.14000000000000001</v>
      </c>
      <c r="I51" s="1">
        <f t="shared" si="8"/>
        <v>3.01</v>
      </c>
      <c r="J51" s="2">
        <f t="shared" si="9"/>
        <v>0.5384236250388722</v>
      </c>
      <c r="K51" s="2">
        <f t="shared" si="10"/>
        <v>477.85969999999998</v>
      </c>
      <c r="L51" s="2">
        <f t="shared" si="11"/>
        <v>90.637486653757108</v>
      </c>
      <c r="M51" s="2">
        <f t="shared" si="12"/>
        <v>158.32999999999998</v>
      </c>
      <c r="N51" s="2">
        <f t="shared" si="13"/>
        <v>8.628601872699349</v>
      </c>
      <c r="O51" s="2">
        <f t="shared" si="14"/>
        <v>1.7888000000000002</v>
      </c>
      <c r="P51" s="2">
        <f t="shared" si="15"/>
        <v>8.4549157299171243E-2</v>
      </c>
      <c r="Q51" s="3">
        <v>1400</v>
      </c>
      <c r="R51" s="2">
        <v>20</v>
      </c>
      <c r="S51" s="2">
        <v>1.7</v>
      </c>
    </row>
    <row r="52" spans="5:19" ht="18" x14ac:dyDescent="0.25">
      <c r="E52" s="1">
        <v>0.75</v>
      </c>
      <c r="F52" s="1">
        <v>0</v>
      </c>
      <c r="G52" s="1">
        <v>0.13</v>
      </c>
      <c r="H52" s="1">
        <v>0.12</v>
      </c>
      <c r="I52" s="1">
        <f t="shared" si="8"/>
        <v>3.01</v>
      </c>
      <c r="J52" s="2">
        <f t="shared" si="9"/>
        <v>0.49989998999799951</v>
      </c>
      <c r="K52" s="2">
        <f t="shared" si="10"/>
        <v>471.09449999999998</v>
      </c>
      <c r="L52" s="2">
        <f t="shared" si="11"/>
        <v>85.581503052645658</v>
      </c>
      <c r="M52" s="2">
        <f t="shared" si="12"/>
        <v>159.52999999999997</v>
      </c>
      <c r="N52" s="2">
        <f t="shared" si="13"/>
        <v>8.1645718414101687</v>
      </c>
      <c r="O52" s="2">
        <f t="shared" si="14"/>
        <v>1.7877999999999998</v>
      </c>
      <c r="P52" s="2">
        <f t="shared" si="15"/>
        <v>7.8607633217137388E-2</v>
      </c>
      <c r="Q52" s="3">
        <v>1400</v>
      </c>
      <c r="R52" s="2">
        <v>20</v>
      </c>
      <c r="S52" s="2">
        <v>1.5</v>
      </c>
    </row>
    <row r="53" spans="5:19" ht="18" x14ac:dyDescent="0.25">
      <c r="E53" s="1">
        <v>0.6</v>
      </c>
      <c r="F53" s="1">
        <v>0</v>
      </c>
      <c r="G53" s="1">
        <v>0.2</v>
      </c>
      <c r="H53" s="1">
        <v>0.2</v>
      </c>
      <c r="I53" s="1">
        <f t="shared" si="8"/>
        <v>2.9999999999999996</v>
      </c>
      <c r="J53" s="2">
        <f t="shared" si="9"/>
        <v>0.63245553203367588</v>
      </c>
      <c r="K53" s="2">
        <f t="shared" si="10"/>
        <v>497.40199999999999</v>
      </c>
      <c r="L53" s="2">
        <f t="shared" si="11"/>
        <v>101.90468907758856</v>
      </c>
      <c r="M53" s="2">
        <f t="shared" si="12"/>
        <v>155</v>
      </c>
      <c r="N53" s="2">
        <f t="shared" si="13"/>
        <v>9.5605850595317179</v>
      </c>
      <c r="O53" s="2">
        <f t="shared" si="14"/>
        <v>1.79</v>
      </c>
      <c r="P53" s="2">
        <f t="shared" si="15"/>
        <v>9.879271228182776E-2</v>
      </c>
      <c r="Q53" s="3">
        <v>1400</v>
      </c>
      <c r="R53" s="2">
        <v>20</v>
      </c>
      <c r="S53" s="2">
        <v>1.1000000000000001</v>
      </c>
    </row>
    <row r="54" spans="5:19" ht="18" x14ac:dyDescent="0.25">
      <c r="E54" s="1">
        <v>0.55000000000000004</v>
      </c>
      <c r="F54" s="1">
        <v>0</v>
      </c>
      <c r="G54" s="1">
        <v>0.2</v>
      </c>
      <c r="H54" s="1">
        <v>0.25</v>
      </c>
      <c r="I54" s="1">
        <f t="shared" si="8"/>
        <v>2.95</v>
      </c>
      <c r="J54" s="2">
        <f t="shared" si="9"/>
        <v>0.66895440801298256</v>
      </c>
      <c r="K54" s="2">
        <f t="shared" si="10"/>
        <v>510.54849999999999</v>
      </c>
      <c r="L54" s="2">
        <f t="shared" si="11"/>
        <v>109.03930668685489</v>
      </c>
      <c r="M54" s="2">
        <f t="shared" si="12"/>
        <v>153.35000000000002</v>
      </c>
      <c r="N54" s="2">
        <f t="shared" si="13"/>
        <v>9.9267025319478375</v>
      </c>
      <c r="O54" s="2">
        <f t="shared" si="14"/>
        <v>1.7835000000000001</v>
      </c>
      <c r="P54" s="2">
        <f t="shared" si="15"/>
        <v>0.10340575419192108</v>
      </c>
      <c r="Q54" s="3">
        <v>1400</v>
      </c>
      <c r="R54" s="2">
        <v>20</v>
      </c>
      <c r="S54" s="2">
        <v>1.9</v>
      </c>
    </row>
    <row r="55" spans="5:19" ht="18" x14ac:dyDescent="0.25">
      <c r="E55" s="1">
        <v>0.5</v>
      </c>
      <c r="F55" s="1">
        <v>0</v>
      </c>
      <c r="G55" s="1">
        <v>0.35</v>
      </c>
      <c r="H55" s="1">
        <v>0.15</v>
      </c>
      <c r="I55" s="1">
        <f t="shared" si="8"/>
        <v>3.1999999999999997</v>
      </c>
      <c r="J55" s="2">
        <f t="shared" si="9"/>
        <v>0.67823299831252681</v>
      </c>
      <c r="K55" s="2">
        <f t="shared" si="10"/>
        <v>495.55500000000001</v>
      </c>
      <c r="L55" s="2">
        <f t="shared" si="11"/>
        <v>89.585952163271656</v>
      </c>
      <c r="M55" s="2">
        <f t="shared" si="12"/>
        <v>152.6</v>
      </c>
      <c r="N55" s="2">
        <f t="shared" si="13"/>
        <v>9.5220558623688039</v>
      </c>
      <c r="O55" s="2">
        <f t="shared" si="14"/>
        <v>1.8235000000000001</v>
      </c>
      <c r="P55" s="2">
        <f t="shared" si="15"/>
        <v>0.10946574806760333</v>
      </c>
      <c r="Q55" s="3">
        <v>1400</v>
      </c>
      <c r="R55" s="2">
        <v>20</v>
      </c>
      <c r="S55" s="2">
        <v>6.85</v>
      </c>
    </row>
    <row r="56" spans="5:19" ht="18" x14ac:dyDescent="0.25">
      <c r="E56" s="1">
        <v>0.71</v>
      </c>
      <c r="F56" s="1">
        <v>0</v>
      </c>
      <c r="G56" s="1">
        <v>0.15</v>
      </c>
      <c r="H56" s="1">
        <v>0.14000000000000001</v>
      </c>
      <c r="I56" s="1">
        <f t="shared" si="8"/>
        <v>3.01</v>
      </c>
      <c r="J56" s="2">
        <f t="shared" si="9"/>
        <v>0.5384236250388722</v>
      </c>
      <c r="K56" s="2">
        <f t="shared" si="10"/>
        <v>477.85969999999998</v>
      </c>
      <c r="L56" s="2">
        <f t="shared" si="11"/>
        <v>90.637486653757108</v>
      </c>
      <c r="M56" s="2">
        <f t="shared" si="12"/>
        <v>158.32999999999998</v>
      </c>
      <c r="N56" s="2">
        <f t="shared" si="13"/>
        <v>8.628601872699349</v>
      </c>
      <c r="O56" s="2">
        <f t="shared" si="14"/>
        <v>1.7888000000000002</v>
      </c>
      <c r="P56" s="2">
        <f t="shared" si="15"/>
        <v>8.4549157299171243E-2</v>
      </c>
      <c r="Q56" s="3">
        <v>1450</v>
      </c>
      <c r="R56" s="2">
        <v>20</v>
      </c>
      <c r="S56" s="2">
        <v>1.6</v>
      </c>
    </row>
    <row r="57" spans="5:19" ht="18" x14ac:dyDescent="0.25">
      <c r="E57" s="1">
        <v>0.75</v>
      </c>
      <c r="F57" s="1">
        <v>0</v>
      </c>
      <c r="G57" s="1">
        <v>0.13</v>
      </c>
      <c r="H57" s="1">
        <v>0.12</v>
      </c>
      <c r="I57" s="1">
        <f t="shared" si="8"/>
        <v>3.01</v>
      </c>
      <c r="J57" s="2">
        <f t="shared" si="9"/>
        <v>0.49989998999799951</v>
      </c>
      <c r="K57" s="2">
        <f t="shared" si="10"/>
        <v>471.09449999999998</v>
      </c>
      <c r="L57" s="2">
        <f t="shared" si="11"/>
        <v>85.581503052645658</v>
      </c>
      <c r="M57" s="2">
        <f t="shared" si="12"/>
        <v>159.52999999999997</v>
      </c>
      <c r="N57" s="2">
        <f t="shared" si="13"/>
        <v>8.1645718414101687</v>
      </c>
      <c r="O57" s="2">
        <f t="shared" si="14"/>
        <v>1.7877999999999998</v>
      </c>
      <c r="P57" s="2">
        <f t="shared" si="15"/>
        <v>7.8607633217137388E-2</v>
      </c>
      <c r="Q57" s="3">
        <v>1450</v>
      </c>
      <c r="R57" s="2">
        <v>20</v>
      </c>
      <c r="S57" s="2">
        <v>1.4</v>
      </c>
    </row>
    <row r="58" spans="5:19" ht="18" x14ac:dyDescent="0.25">
      <c r="E58" s="1">
        <v>0.6</v>
      </c>
      <c r="F58" s="1">
        <v>0</v>
      </c>
      <c r="G58" s="1">
        <v>0.2</v>
      </c>
      <c r="H58" s="1">
        <v>0.2</v>
      </c>
      <c r="I58" s="1">
        <f t="shared" si="8"/>
        <v>2.9999999999999996</v>
      </c>
      <c r="J58" s="2">
        <f t="shared" si="9"/>
        <v>0.63245553203367588</v>
      </c>
      <c r="K58" s="2">
        <f t="shared" si="10"/>
        <v>497.40199999999999</v>
      </c>
      <c r="L58" s="2">
        <f t="shared" si="11"/>
        <v>101.90468907758856</v>
      </c>
      <c r="M58" s="2">
        <f t="shared" si="12"/>
        <v>155</v>
      </c>
      <c r="N58" s="2">
        <f t="shared" si="13"/>
        <v>9.5605850595317179</v>
      </c>
      <c r="O58" s="2">
        <f t="shared" si="14"/>
        <v>1.79</v>
      </c>
      <c r="P58" s="2">
        <f t="shared" si="15"/>
        <v>9.879271228182776E-2</v>
      </c>
      <c r="Q58" s="3">
        <v>1450</v>
      </c>
      <c r="R58" s="2">
        <v>20</v>
      </c>
      <c r="S58" s="2">
        <v>1.1000000000000001</v>
      </c>
    </row>
    <row r="59" spans="5:19" ht="18" x14ac:dyDescent="0.25">
      <c r="E59" s="1">
        <v>0.55000000000000004</v>
      </c>
      <c r="F59" s="1">
        <v>0</v>
      </c>
      <c r="G59" s="1">
        <v>0.2</v>
      </c>
      <c r="H59" s="1">
        <v>0.25</v>
      </c>
      <c r="I59" s="1">
        <f t="shared" si="8"/>
        <v>2.95</v>
      </c>
      <c r="J59" s="2">
        <f t="shared" si="9"/>
        <v>0.66895440801298256</v>
      </c>
      <c r="K59" s="2">
        <f t="shared" si="10"/>
        <v>510.54849999999999</v>
      </c>
      <c r="L59" s="2">
        <f t="shared" si="11"/>
        <v>109.03930668685489</v>
      </c>
      <c r="M59" s="2">
        <f t="shared" si="12"/>
        <v>153.35000000000002</v>
      </c>
      <c r="N59" s="2">
        <f t="shared" si="13"/>
        <v>9.9267025319478375</v>
      </c>
      <c r="O59" s="2">
        <f t="shared" si="14"/>
        <v>1.7835000000000001</v>
      </c>
      <c r="P59" s="2">
        <f t="shared" si="15"/>
        <v>0.10340575419192108</v>
      </c>
      <c r="Q59" s="3">
        <v>1450</v>
      </c>
      <c r="R59" s="2">
        <v>20</v>
      </c>
      <c r="S59" s="2">
        <v>1.7</v>
      </c>
    </row>
    <row r="60" spans="5:19" ht="18" x14ac:dyDescent="0.25">
      <c r="E60" s="1">
        <v>0.5</v>
      </c>
      <c r="F60" s="1">
        <v>0</v>
      </c>
      <c r="G60" s="1">
        <v>0.35</v>
      </c>
      <c r="H60" s="1">
        <v>0.15</v>
      </c>
      <c r="I60" s="1">
        <f t="shared" si="8"/>
        <v>3.1999999999999997</v>
      </c>
      <c r="J60" s="2">
        <f t="shared" si="9"/>
        <v>0.67823299831252681</v>
      </c>
      <c r="K60" s="2">
        <f t="shared" si="10"/>
        <v>495.55500000000001</v>
      </c>
      <c r="L60" s="2">
        <f t="shared" si="11"/>
        <v>89.585952163271656</v>
      </c>
      <c r="M60" s="2">
        <f t="shared" si="12"/>
        <v>152.6</v>
      </c>
      <c r="N60" s="2">
        <f t="shared" si="13"/>
        <v>9.5220558623688039</v>
      </c>
      <c r="O60" s="2">
        <f t="shared" si="14"/>
        <v>1.8235000000000001</v>
      </c>
      <c r="P60" s="2">
        <f t="shared" si="15"/>
        <v>0.10946574806760333</v>
      </c>
      <c r="Q60" s="3">
        <v>1450</v>
      </c>
      <c r="R60" s="2">
        <v>20</v>
      </c>
      <c r="S60" s="2">
        <v>4.7</v>
      </c>
    </row>
    <row r="61" spans="5:19" ht="18" x14ac:dyDescent="0.25">
      <c r="E61" s="1">
        <v>0.71</v>
      </c>
      <c r="F61" s="1">
        <v>0</v>
      </c>
      <c r="G61" s="1">
        <v>0.15</v>
      </c>
      <c r="H61" s="1">
        <v>0.14000000000000001</v>
      </c>
      <c r="I61" s="1">
        <f t="shared" si="8"/>
        <v>3.01</v>
      </c>
      <c r="J61" s="2">
        <f t="shared" si="9"/>
        <v>0.5384236250388722</v>
      </c>
      <c r="K61" s="2">
        <f t="shared" si="10"/>
        <v>477.85969999999998</v>
      </c>
      <c r="L61" s="2">
        <f t="shared" si="11"/>
        <v>90.637486653757108</v>
      </c>
      <c r="M61" s="2">
        <f t="shared" si="12"/>
        <v>158.32999999999998</v>
      </c>
      <c r="N61" s="2">
        <f t="shared" si="13"/>
        <v>8.628601872699349</v>
      </c>
      <c r="O61" s="2">
        <f t="shared" si="14"/>
        <v>1.7888000000000002</v>
      </c>
      <c r="P61" s="2">
        <f t="shared" si="15"/>
        <v>8.4549157299171243E-2</v>
      </c>
      <c r="Q61" s="3">
        <v>1500</v>
      </c>
      <c r="R61" s="2">
        <v>20</v>
      </c>
      <c r="S61" s="2">
        <v>1.4</v>
      </c>
    </row>
    <row r="62" spans="5:19" ht="18" x14ac:dyDescent="0.25">
      <c r="E62" s="1">
        <v>0.75</v>
      </c>
      <c r="F62" s="1">
        <v>0</v>
      </c>
      <c r="G62" s="1">
        <v>0.13</v>
      </c>
      <c r="H62" s="1">
        <v>0.12</v>
      </c>
      <c r="I62" s="1">
        <f t="shared" si="8"/>
        <v>3.01</v>
      </c>
      <c r="J62" s="2">
        <f t="shared" si="9"/>
        <v>0.49989998999799951</v>
      </c>
      <c r="K62" s="2">
        <f t="shared" si="10"/>
        <v>471.09449999999998</v>
      </c>
      <c r="L62" s="2">
        <f t="shared" si="11"/>
        <v>85.581503052645658</v>
      </c>
      <c r="M62" s="2">
        <f t="shared" si="12"/>
        <v>159.52999999999997</v>
      </c>
      <c r="N62" s="2">
        <f t="shared" si="13"/>
        <v>8.1645718414101687</v>
      </c>
      <c r="O62" s="2">
        <f t="shared" si="14"/>
        <v>1.7877999999999998</v>
      </c>
      <c r="P62" s="2">
        <f t="shared" si="15"/>
        <v>7.8607633217137388E-2</v>
      </c>
      <c r="Q62" s="3">
        <v>1500</v>
      </c>
      <c r="R62" s="2">
        <v>20</v>
      </c>
      <c r="S62" s="2">
        <v>1.2</v>
      </c>
    </row>
    <row r="63" spans="5:19" ht="18" x14ac:dyDescent="0.25">
      <c r="E63" s="1">
        <v>0.6</v>
      </c>
      <c r="F63" s="1">
        <v>0</v>
      </c>
      <c r="G63" s="1">
        <v>0.2</v>
      </c>
      <c r="H63" s="1">
        <v>0.2</v>
      </c>
      <c r="I63" s="1">
        <f t="shared" si="8"/>
        <v>2.9999999999999996</v>
      </c>
      <c r="J63" s="2">
        <f t="shared" si="9"/>
        <v>0.63245553203367588</v>
      </c>
      <c r="K63" s="2">
        <f t="shared" si="10"/>
        <v>497.40199999999999</v>
      </c>
      <c r="L63" s="2">
        <f t="shared" si="11"/>
        <v>101.90468907758856</v>
      </c>
      <c r="M63" s="2">
        <f t="shared" si="12"/>
        <v>155</v>
      </c>
      <c r="N63" s="2">
        <f t="shared" si="13"/>
        <v>9.5605850595317179</v>
      </c>
      <c r="O63" s="2">
        <f t="shared" si="14"/>
        <v>1.79</v>
      </c>
      <c r="P63" s="2">
        <f t="shared" si="15"/>
        <v>9.879271228182776E-2</v>
      </c>
      <c r="Q63" s="3">
        <v>1500</v>
      </c>
      <c r="R63" s="2">
        <v>20</v>
      </c>
      <c r="S63" s="2">
        <v>1.1000000000000001</v>
      </c>
    </row>
    <row r="64" spans="5:19" ht="18" x14ac:dyDescent="0.25">
      <c r="E64" s="1">
        <v>0.55000000000000004</v>
      </c>
      <c r="F64" s="1">
        <v>0</v>
      </c>
      <c r="G64" s="1">
        <v>0.2</v>
      </c>
      <c r="H64" s="1">
        <v>0.25</v>
      </c>
      <c r="I64" s="1">
        <f t="shared" si="8"/>
        <v>2.95</v>
      </c>
      <c r="J64" s="2">
        <f t="shared" si="9"/>
        <v>0.66895440801298256</v>
      </c>
      <c r="K64" s="2">
        <f t="shared" si="10"/>
        <v>510.54849999999999</v>
      </c>
      <c r="L64" s="2">
        <f t="shared" si="11"/>
        <v>109.03930668685489</v>
      </c>
      <c r="M64" s="2">
        <f t="shared" si="12"/>
        <v>153.35000000000002</v>
      </c>
      <c r="N64" s="2">
        <f t="shared" si="13"/>
        <v>9.9267025319478375</v>
      </c>
      <c r="O64" s="2">
        <f t="shared" si="14"/>
        <v>1.7835000000000001</v>
      </c>
      <c r="P64" s="2">
        <f t="shared" si="15"/>
        <v>0.10340575419192108</v>
      </c>
      <c r="Q64" s="3">
        <v>1500</v>
      </c>
      <c r="R64" s="2">
        <v>20</v>
      </c>
      <c r="S64" s="2">
        <v>1.2</v>
      </c>
    </row>
    <row r="65" spans="5:19" ht="18" x14ac:dyDescent="0.25">
      <c r="E65" s="1">
        <v>0.5</v>
      </c>
      <c r="F65" s="1">
        <v>0</v>
      </c>
      <c r="G65" s="1">
        <v>0.35</v>
      </c>
      <c r="H65" s="1">
        <v>0.15</v>
      </c>
      <c r="I65" s="1">
        <f t="shared" si="8"/>
        <v>3.1999999999999997</v>
      </c>
      <c r="J65" s="2">
        <f t="shared" si="9"/>
        <v>0.67823299831252681</v>
      </c>
      <c r="K65" s="2">
        <f t="shared" si="10"/>
        <v>495.55500000000001</v>
      </c>
      <c r="L65" s="2">
        <f t="shared" si="11"/>
        <v>89.585952163271656</v>
      </c>
      <c r="M65" s="2">
        <f t="shared" si="12"/>
        <v>152.6</v>
      </c>
      <c r="N65" s="2">
        <f t="shared" si="13"/>
        <v>9.5220558623688039</v>
      </c>
      <c r="O65" s="2">
        <f t="shared" si="14"/>
        <v>1.8235000000000001</v>
      </c>
      <c r="P65" s="2">
        <f t="shared" si="15"/>
        <v>0.10946574806760333</v>
      </c>
      <c r="Q65" s="3">
        <v>1500</v>
      </c>
      <c r="R65" s="2">
        <v>20</v>
      </c>
      <c r="S65" s="2">
        <v>4.5</v>
      </c>
    </row>
    <row r="66" spans="5:19" ht="18" x14ac:dyDescent="0.25">
      <c r="E66" s="1">
        <v>0.33</v>
      </c>
      <c r="F66" s="1">
        <v>0.34</v>
      </c>
      <c r="G66" s="1">
        <v>0</v>
      </c>
      <c r="H66" s="1">
        <v>0.33</v>
      </c>
      <c r="I66" s="1">
        <f t="shared" si="8"/>
        <v>2.67</v>
      </c>
      <c r="J66" s="2">
        <f t="shared" si="9"/>
        <v>0.4702127178203499</v>
      </c>
      <c r="K66" s="2">
        <f t="shared" si="10"/>
        <v>473.3913</v>
      </c>
      <c r="L66" s="2">
        <f t="shared" si="11"/>
        <v>162.4164679313954</v>
      </c>
      <c r="M66" s="2">
        <f t="shared" si="12"/>
        <v>145.23000000000002</v>
      </c>
      <c r="N66" s="2">
        <f t="shared" si="13"/>
        <v>10.5239163180843</v>
      </c>
      <c r="O66" s="2">
        <f t="shared" si="14"/>
        <v>1.7473000000000001</v>
      </c>
      <c r="P66" s="2">
        <f t="shared" si="15"/>
        <v>6.9380905154084072E-2</v>
      </c>
      <c r="Q66" s="3">
        <v>1400</v>
      </c>
      <c r="R66" s="2">
        <v>8</v>
      </c>
      <c r="S66" s="2">
        <v>7.42</v>
      </c>
    </row>
    <row r="67" spans="5:19" ht="18" x14ac:dyDescent="0.25">
      <c r="E67" s="1">
        <v>0.33</v>
      </c>
      <c r="F67" s="1">
        <v>0.34</v>
      </c>
      <c r="G67" s="1">
        <v>0</v>
      </c>
      <c r="H67" s="1">
        <v>0.33</v>
      </c>
      <c r="I67" s="1">
        <f t="shared" si="8"/>
        <v>2.67</v>
      </c>
      <c r="J67" s="2">
        <f t="shared" si="9"/>
        <v>0.4702127178203499</v>
      </c>
      <c r="K67" s="2">
        <f t="shared" si="10"/>
        <v>473.3913</v>
      </c>
      <c r="L67" s="2">
        <f t="shared" si="11"/>
        <v>162.4164679313954</v>
      </c>
      <c r="M67" s="2">
        <f t="shared" si="12"/>
        <v>145.23000000000002</v>
      </c>
      <c r="N67" s="2">
        <f t="shared" si="13"/>
        <v>10.5239163180843</v>
      </c>
      <c r="O67" s="2">
        <f t="shared" si="14"/>
        <v>1.7473000000000001</v>
      </c>
      <c r="P67" s="2">
        <f t="shared" si="15"/>
        <v>6.9380905154084072E-2</v>
      </c>
      <c r="Q67" s="3">
        <v>1420</v>
      </c>
      <c r="R67" s="2">
        <v>8</v>
      </c>
      <c r="S67" s="2">
        <v>6</v>
      </c>
    </row>
    <row r="68" spans="5:19" ht="18" x14ac:dyDescent="0.25">
      <c r="E68" s="1">
        <v>0.33</v>
      </c>
      <c r="F68" s="1">
        <v>0.34</v>
      </c>
      <c r="G68" s="1">
        <v>0</v>
      </c>
      <c r="H68" s="1">
        <v>0.33</v>
      </c>
      <c r="I68" s="1">
        <f t="shared" si="8"/>
        <v>2.67</v>
      </c>
      <c r="J68" s="2">
        <f t="shared" si="9"/>
        <v>0.4702127178203499</v>
      </c>
      <c r="K68" s="2">
        <f t="shared" si="10"/>
        <v>473.3913</v>
      </c>
      <c r="L68" s="2">
        <f t="shared" si="11"/>
        <v>162.4164679313954</v>
      </c>
      <c r="M68" s="2">
        <f t="shared" si="12"/>
        <v>145.23000000000002</v>
      </c>
      <c r="N68" s="2">
        <f t="shared" si="13"/>
        <v>10.5239163180843</v>
      </c>
      <c r="O68" s="2">
        <f t="shared" si="14"/>
        <v>1.7473000000000001</v>
      </c>
      <c r="P68" s="2">
        <f t="shared" si="15"/>
        <v>6.9380905154084072E-2</v>
      </c>
      <c r="Q68" s="3">
        <v>1450</v>
      </c>
      <c r="R68" s="2">
        <v>8</v>
      </c>
      <c r="S68" s="2">
        <v>3.11</v>
      </c>
    </row>
    <row r="69" spans="5:19" ht="18" x14ac:dyDescent="0.25">
      <c r="E69" s="1">
        <v>0.33</v>
      </c>
      <c r="F69" s="1">
        <v>0.34</v>
      </c>
      <c r="G69" s="1">
        <v>0</v>
      </c>
      <c r="H69" s="1">
        <v>0.33</v>
      </c>
      <c r="I69" s="1">
        <f t="shared" si="8"/>
        <v>2.67</v>
      </c>
      <c r="J69" s="2">
        <f t="shared" si="9"/>
        <v>0.4702127178203499</v>
      </c>
      <c r="K69" s="2">
        <f t="shared" si="10"/>
        <v>473.3913</v>
      </c>
      <c r="L69" s="2">
        <f t="shared" si="11"/>
        <v>162.4164679313954</v>
      </c>
      <c r="M69" s="2">
        <f t="shared" si="12"/>
        <v>145.23000000000002</v>
      </c>
      <c r="N69" s="2">
        <f t="shared" si="13"/>
        <v>10.5239163180843</v>
      </c>
      <c r="O69" s="2">
        <f t="shared" si="14"/>
        <v>1.7473000000000001</v>
      </c>
      <c r="P69" s="2">
        <f t="shared" si="15"/>
        <v>6.9380905154084072E-2</v>
      </c>
      <c r="Q69" s="3">
        <v>1480</v>
      </c>
      <c r="R69" s="2">
        <v>8</v>
      </c>
      <c r="S69" s="2">
        <v>2.12</v>
      </c>
    </row>
    <row r="70" spans="5:19" ht="18" x14ac:dyDescent="0.25">
      <c r="E70" s="1">
        <v>0.33</v>
      </c>
      <c r="F70" s="1">
        <v>0.34</v>
      </c>
      <c r="G70" s="1">
        <v>0</v>
      </c>
      <c r="H70" s="1">
        <v>0.33</v>
      </c>
      <c r="I70" s="1">
        <f t="shared" si="8"/>
        <v>2.67</v>
      </c>
      <c r="J70" s="2">
        <f t="shared" si="9"/>
        <v>0.4702127178203499</v>
      </c>
      <c r="K70" s="2">
        <f t="shared" si="10"/>
        <v>473.3913</v>
      </c>
      <c r="L70" s="2">
        <f t="shared" si="11"/>
        <v>162.4164679313954</v>
      </c>
      <c r="M70" s="2">
        <f t="shared" si="12"/>
        <v>145.23000000000002</v>
      </c>
      <c r="N70" s="2">
        <f t="shared" si="13"/>
        <v>10.5239163180843</v>
      </c>
      <c r="O70" s="2">
        <f t="shared" si="14"/>
        <v>1.7473000000000001</v>
      </c>
      <c r="P70" s="2">
        <f t="shared" si="15"/>
        <v>6.9380905154084072E-2</v>
      </c>
      <c r="Q70" s="3">
        <v>1510</v>
      </c>
      <c r="R70" s="2">
        <v>8</v>
      </c>
      <c r="S70" s="2">
        <v>7.07</v>
      </c>
    </row>
    <row r="71" spans="5:19" ht="18" x14ac:dyDescent="0.25">
      <c r="E71" s="1">
        <v>0.4</v>
      </c>
      <c r="F71" s="1">
        <v>0.4</v>
      </c>
      <c r="G71" s="1">
        <v>0</v>
      </c>
      <c r="H71" s="1">
        <v>0.2</v>
      </c>
      <c r="I71" s="1">
        <f t="shared" si="8"/>
        <v>2.8000000000000003</v>
      </c>
      <c r="J71" s="2">
        <f t="shared" si="9"/>
        <v>0.4</v>
      </c>
      <c r="K71" s="2">
        <f t="shared" si="10"/>
        <v>431.6</v>
      </c>
      <c r="L71" s="2">
        <f t="shared" si="11"/>
        <v>142.33189635496322</v>
      </c>
      <c r="M71" s="2">
        <f t="shared" si="12"/>
        <v>147.6</v>
      </c>
      <c r="N71" s="2">
        <f t="shared" si="13"/>
        <v>10.734581203435422</v>
      </c>
      <c r="O71" s="2">
        <f t="shared" si="14"/>
        <v>1.7660000000000002</v>
      </c>
      <c r="P71" s="2">
        <f t="shared" si="15"/>
        <v>5.9531504264548923E-2</v>
      </c>
      <c r="Q71" s="3">
        <v>1300</v>
      </c>
      <c r="R71" s="2">
        <v>8</v>
      </c>
      <c r="S71" s="2">
        <v>8.8000000000000007</v>
      </c>
    </row>
    <row r="72" spans="5:19" ht="18" x14ac:dyDescent="0.25">
      <c r="E72" s="1">
        <v>0.4</v>
      </c>
      <c r="F72" s="1">
        <v>0.4</v>
      </c>
      <c r="G72" s="1">
        <v>0</v>
      </c>
      <c r="H72" s="1">
        <v>0.2</v>
      </c>
      <c r="I72" s="1">
        <f t="shared" si="8"/>
        <v>2.8000000000000003</v>
      </c>
      <c r="J72" s="2">
        <f t="shared" si="9"/>
        <v>0.4</v>
      </c>
      <c r="K72" s="2">
        <f t="shared" si="10"/>
        <v>431.6</v>
      </c>
      <c r="L72" s="2">
        <f t="shared" si="11"/>
        <v>142.33189635496322</v>
      </c>
      <c r="M72" s="2">
        <f t="shared" si="12"/>
        <v>147.6</v>
      </c>
      <c r="N72" s="2">
        <f t="shared" si="13"/>
        <v>10.734581203435422</v>
      </c>
      <c r="O72" s="2">
        <f t="shared" si="14"/>
        <v>1.7660000000000002</v>
      </c>
      <c r="P72" s="2">
        <f t="shared" si="15"/>
        <v>5.9531504264548923E-2</v>
      </c>
      <c r="Q72" s="3">
        <v>1500</v>
      </c>
      <c r="R72" s="2">
        <v>8</v>
      </c>
      <c r="S72" s="2">
        <v>3.4</v>
      </c>
    </row>
    <row r="73" spans="5:19" ht="18" x14ac:dyDescent="0.25">
      <c r="E73" s="1">
        <v>0.25</v>
      </c>
      <c r="F73" s="1">
        <v>0.25</v>
      </c>
      <c r="G73" s="1">
        <v>0</v>
      </c>
      <c r="H73" s="1">
        <v>0.5</v>
      </c>
      <c r="I73" s="1">
        <f t="shared" si="8"/>
        <v>2.5</v>
      </c>
      <c r="J73" s="2">
        <f t="shared" si="9"/>
        <v>0.5</v>
      </c>
      <c r="K73" s="2">
        <f t="shared" si="10"/>
        <v>529.505</v>
      </c>
      <c r="L73" s="2">
        <f t="shared" si="11"/>
        <v>169.22508332100176</v>
      </c>
      <c r="M73" s="2">
        <f t="shared" si="12"/>
        <v>142.5</v>
      </c>
      <c r="N73" s="2">
        <f t="shared" si="13"/>
        <v>9.9305064547964292</v>
      </c>
      <c r="O73" s="2">
        <f t="shared" si="14"/>
        <v>1.7224999999999999</v>
      </c>
      <c r="P73" s="2">
        <f t="shared" si="15"/>
        <v>7.3271754448764284E-2</v>
      </c>
      <c r="Q73" s="3">
        <v>1300</v>
      </c>
      <c r="R73" s="2">
        <v>8</v>
      </c>
      <c r="S73" s="2">
        <v>168</v>
      </c>
    </row>
    <row r="74" spans="5:19" ht="18" x14ac:dyDescent="0.25">
      <c r="E74" s="1">
        <v>0.25</v>
      </c>
      <c r="F74" s="1">
        <v>0.25</v>
      </c>
      <c r="G74" s="1">
        <v>0</v>
      </c>
      <c r="H74" s="1">
        <v>0.5</v>
      </c>
      <c r="I74" s="1">
        <f t="shared" si="8"/>
        <v>2.5</v>
      </c>
      <c r="J74" s="2">
        <f t="shared" si="9"/>
        <v>0.5</v>
      </c>
      <c r="K74" s="2">
        <f t="shared" si="10"/>
        <v>529.505</v>
      </c>
      <c r="L74" s="2">
        <f t="shared" si="11"/>
        <v>169.22508332100176</v>
      </c>
      <c r="M74" s="2">
        <f t="shared" si="12"/>
        <v>142.5</v>
      </c>
      <c r="N74" s="2">
        <f t="shared" si="13"/>
        <v>9.9305064547964292</v>
      </c>
      <c r="O74" s="2">
        <f t="shared" si="14"/>
        <v>1.7224999999999999</v>
      </c>
      <c r="P74" s="2">
        <f t="shared" si="15"/>
        <v>7.3271754448764284E-2</v>
      </c>
      <c r="Q74" s="3">
        <v>1500</v>
      </c>
      <c r="R74" s="2">
        <v>8</v>
      </c>
      <c r="S74" s="2">
        <v>23</v>
      </c>
    </row>
    <row r="75" spans="5:19" ht="18" x14ac:dyDescent="0.25">
      <c r="E75" s="1">
        <v>0.4</v>
      </c>
      <c r="F75" s="1">
        <v>0.4</v>
      </c>
      <c r="G75" s="1">
        <v>0</v>
      </c>
      <c r="H75" s="1">
        <v>0.2</v>
      </c>
      <c r="I75" s="1">
        <f t="shared" si="8"/>
        <v>2.8000000000000003</v>
      </c>
      <c r="J75" s="2">
        <f t="shared" si="9"/>
        <v>0.4</v>
      </c>
      <c r="K75" s="2">
        <f t="shared" si="10"/>
        <v>431.6</v>
      </c>
      <c r="L75" s="2">
        <f t="shared" si="11"/>
        <v>142.33189635496322</v>
      </c>
      <c r="M75" s="2">
        <f t="shared" si="12"/>
        <v>147.6</v>
      </c>
      <c r="N75" s="2">
        <f t="shared" si="13"/>
        <v>10.734581203435422</v>
      </c>
      <c r="O75" s="2">
        <f t="shared" si="14"/>
        <v>1.7660000000000002</v>
      </c>
      <c r="P75" s="2">
        <f t="shared" si="15"/>
        <v>5.9531504264548923E-2</v>
      </c>
      <c r="Q75" s="3">
        <v>1300</v>
      </c>
      <c r="R75" s="2">
        <v>6</v>
      </c>
      <c r="S75" s="2">
        <v>8.9499999999999993</v>
      </c>
    </row>
    <row r="76" spans="5:19" ht="18" x14ac:dyDescent="0.25">
      <c r="E76" s="1">
        <v>0.4</v>
      </c>
      <c r="F76" s="1">
        <v>0.4</v>
      </c>
      <c r="G76" s="1">
        <v>0</v>
      </c>
      <c r="H76" s="1">
        <v>0.2</v>
      </c>
      <c r="I76" s="1">
        <f t="shared" si="8"/>
        <v>2.8000000000000003</v>
      </c>
      <c r="J76" s="2">
        <f t="shared" si="9"/>
        <v>0.4</v>
      </c>
      <c r="K76" s="2">
        <f t="shared" si="10"/>
        <v>431.6</v>
      </c>
      <c r="L76" s="2">
        <f t="shared" si="11"/>
        <v>142.33189635496322</v>
      </c>
      <c r="M76" s="2">
        <f t="shared" si="12"/>
        <v>147.6</v>
      </c>
      <c r="N76" s="2">
        <f t="shared" si="13"/>
        <v>10.734581203435422</v>
      </c>
      <c r="O76" s="2">
        <f t="shared" si="14"/>
        <v>1.7660000000000002</v>
      </c>
      <c r="P76" s="2">
        <f t="shared" si="15"/>
        <v>5.9531504264548923E-2</v>
      </c>
      <c r="Q76" s="3">
        <v>1350</v>
      </c>
      <c r="R76" s="2">
        <v>6</v>
      </c>
      <c r="S76" s="2">
        <v>14.46</v>
      </c>
    </row>
    <row r="77" spans="5:19" ht="18" x14ac:dyDescent="0.25">
      <c r="E77" s="1">
        <v>0.4</v>
      </c>
      <c r="F77" s="1">
        <v>0.4</v>
      </c>
      <c r="G77" s="1">
        <v>0</v>
      </c>
      <c r="H77" s="1">
        <v>0.2</v>
      </c>
      <c r="I77" s="1">
        <f t="shared" si="8"/>
        <v>2.8000000000000003</v>
      </c>
      <c r="J77" s="2">
        <f t="shared" si="9"/>
        <v>0.4</v>
      </c>
      <c r="K77" s="2">
        <f t="shared" si="10"/>
        <v>431.6</v>
      </c>
      <c r="L77" s="2">
        <f t="shared" si="11"/>
        <v>142.33189635496322</v>
      </c>
      <c r="M77" s="2">
        <f t="shared" si="12"/>
        <v>147.6</v>
      </c>
      <c r="N77" s="2">
        <f t="shared" si="13"/>
        <v>10.734581203435422</v>
      </c>
      <c r="O77" s="2">
        <f t="shared" si="14"/>
        <v>1.7660000000000002</v>
      </c>
      <c r="P77" s="2">
        <f t="shared" si="15"/>
        <v>5.9531504264548923E-2</v>
      </c>
      <c r="Q77" s="3">
        <v>1400</v>
      </c>
      <c r="R77" s="2">
        <v>6</v>
      </c>
      <c r="S77" s="2">
        <v>12.51</v>
      </c>
    </row>
    <row r="78" spans="5:19" ht="18" x14ac:dyDescent="0.25">
      <c r="E78" s="1">
        <v>0.4</v>
      </c>
      <c r="F78" s="1">
        <v>0.4</v>
      </c>
      <c r="G78" s="1">
        <v>0</v>
      </c>
      <c r="H78" s="1">
        <v>0.2</v>
      </c>
      <c r="I78" s="1">
        <f t="shared" si="8"/>
        <v>2.8000000000000003</v>
      </c>
      <c r="J78" s="2">
        <f t="shared" si="9"/>
        <v>0.4</v>
      </c>
      <c r="K78" s="2">
        <f t="shared" si="10"/>
        <v>431.6</v>
      </c>
      <c r="L78" s="2">
        <f t="shared" si="11"/>
        <v>142.33189635496322</v>
      </c>
      <c r="M78" s="2">
        <f t="shared" si="12"/>
        <v>147.6</v>
      </c>
      <c r="N78" s="2">
        <f t="shared" si="13"/>
        <v>10.734581203435422</v>
      </c>
      <c r="O78" s="2">
        <f t="shared" si="14"/>
        <v>1.7660000000000002</v>
      </c>
      <c r="P78" s="2">
        <f t="shared" si="15"/>
        <v>5.9531504264548923E-2</v>
      </c>
      <c r="Q78" s="3">
        <v>1450</v>
      </c>
      <c r="R78" s="2">
        <v>6</v>
      </c>
      <c r="S78" s="2">
        <v>6.58</v>
      </c>
    </row>
    <row r="79" spans="5:19" ht="18" x14ac:dyDescent="0.25">
      <c r="E79" s="1">
        <v>0.4</v>
      </c>
      <c r="F79" s="1">
        <v>0.4</v>
      </c>
      <c r="G79" s="1">
        <v>0</v>
      </c>
      <c r="H79" s="1">
        <v>0.2</v>
      </c>
      <c r="I79" s="1">
        <f t="shared" si="8"/>
        <v>2.8000000000000003</v>
      </c>
      <c r="J79" s="2">
        <f t="shared" si="9"/>
        <v>0.4</v>
      </c>
      <c r="K79" s="2">
        <f t="shared" si="10"/>
        <v>431.6</v>
      </c>
      <c r="L79" s="2">
        <f t="shared" si="11"/>
        <v>142.33189635496322</v>
      </c>
      <c r="M79" s="2">
        <f t="shared" si="12"/>
        <v>147.6</v>
      </c>
      <c r="N79" s="2">
        <f t="shared" si="13"/>
        <v>10.734581203435422</v>
      </c>
      <c r="O79" s="2">
        <f t="shared" si="14"/>
        <v>1.7660000000000002</v>
      </c>
      <c r="P79" s="2">
        <f t="shared" si="15"/>
        <v>5.9531504264548923E-2</v>
      </c>
      <c r="Q79" s="3">
        <v>1500</v>
      </c>
      <c r="R79" s="2">
        <v>6</v>
      </c>
      <c r="S79" s="2">
        <v>3.4</v>
      </c>
    </row>
    <row r="80" spans="5:19" ht="18" x14ac:dyDescent="0.25">
      <c r="E80" s="1">
        <v>0.25</v>
      </c>
      <c r="F80" s="1">
        <v>0.25</v>
      </c>
      <c r="G80" s="1">
        <v>0</v>
      </c>
      <c r="H80" s="1">
        <v>0.5</v>
      </c>
      <c r="I80" s="1">
        <f t="shared" si="8"/>
        <v>2.5</v>
      </c>
      <c r="J80" s="2">
        <f t="shared" si="9"/>
        <v>0.5</v>
      </c>
      <c r="K80" s="2">
        <f t="shared" si="10"/>
        <v>529.505</v>
      </c>
      <c r="L80" s="2">
        <f t="shared" si="11"/>
        <v>169.22508332100176</v>
      </c>
      <c r="M80" s="2">
        <f t="shared" si="12"/>
        <v>142.5</v>
      </c>
      <c r="N80" s="2">
        <f t="shared" si="13"/>
        <v>9.9305064547964292</v>
      </c>
      <c r="O80" s="2">
        <f t="shared" si="14"/>
        <v>1.7224999999999999</v>
      </c>
      <c r="P80" s="2">
        <f t="shared" si="15"/>
        <v>7.3271754448764284E-2</v>
      </c>
      <c r="Q80" s="3">
        <v>1400</v>
      </c>
      <c r="R80" s="2">
        <v>6</v>
      </c>
      <c r="S80" s="2">
        <v>62.1</v>
      </c>
    </row>
    <row r="81" spans="5:19" ht="18" x14ac:dyDescent="0.25">
      <c r="E81" s="1">
        <v>0.25</v>
      </c>
      <c r="F81" s="1">
        <v>0.25</v>
      </c>
      <c r="G81" s="1">
        <v>0</v>
      </c>
      <c r="H81" s="1">
        <v>0.5</v>
      </c>
      <c r="I81" s="1">
        <f t="shared" si="8"/>
        <v>2.5</v>
      </c>
      <c r="J81" s="2">
        <f t="shared" si="9"/>
        <v>0.5</v>
      </c>
      <c r="K81" s="2">
        <f t="shared" si="10"/>
        <v>529.505</v>
      </c>
      <c r="L81" s="2">
        <f t="shared" si="11"/>
        <v>169.22508332100176</v>
      </c>
      <c r="M81" s="2">
        <f t="shared" si="12"/>
        <v>142.5</v>
      </c>
      <c r="N81" s="2">
        <f t="shared" si="13"/>
        <v>9.9305064547964292</v>
      </c>
      <c r="O81" s="2">
        <f t="shared" si="14"/>
        <v>1.7224999999999999</v>
      </c>
      <c r="P81" s="2">
        <f t="shared" si="15"/>
        <v>7.3271754448764284E-2</v>
      </c>
      <c r="Q81" s="3">
        <v>1500</v>
      </c>
      <c r="R81" s="2">
        <v>6</v>
      </c>
      <c r="S81" s="2">
        <v>28</v>
      </c>
    </row>
    <row r="82" spans="5:19" ht="18" x14ac:dyDescent="0.25">
      <c r="E82" s="1">
        <v>0.33</v>
      </c>
      <c r="F82" s="1">
        <v>0.34</v>
      </c>
      <c r="G82" s="1">
        <v>0</v>
      </c>
      <c r="H82" s="1">
        <v>0.33</v>
      </c>
      <c r="I82" s="1">
        <f t="shared" si="8"/>
        <v>2.67</v>
      </c>
      <c r="J82" s="2">
        <f t="shared" si="9"/>
        <v>0.4702127178203499</v>
      </c>
      <c r="K82" s="2">
        <f t="shared" si="10"/>
        <v>473.3913</v>
      </c>
      <c r="L82" s="2">
        <f t="shared" si="11"/>
        <v>162.4164679313954</v>
      </c>
      <c r="M82" s="2">
        <f t="shared" si="12"/>
        <v>145.23000000000002</v>
      </c>
      <c r="N82" s="2">
        <f t="shared" si="13"/>
        <v>10.5239163180843</v>
      </c>
      <c r="O82" s="2">
        <f t="shared" si="14"/>
        <v>1.7473000000000001</v>
      </c>
      <c r="P82" s="2">
        <f t="shared" si="15"/>
        <v>6.9380905154084072E-2</v>
      </c>
      <c r="Q82" s="3">
        <v>1300</v>
      </c>
      <c r="R82" s="2">
        <v>6</v>
      </c>
      <c r="S82" s="2">
        <v>29.9</v>
      </c>
    </row>
    <row r="83" spans="5:19" ht="18" x14ac:dyDescent="0.25">
      <c r="E83" s="1">
        <v>0.33</v>
      </c>
      <c r="F83" s="1">
        <v>0.34</v>
      </c>
      <c r="G83" s="1">
        <v>0</v>
      </c>
      <c r="H83" s="1">
        <v>0.33</v>
      </c>
      <c r="I83" s="1">
        <f t="shared" si="8"/>
        <v>2.67</v>
      </c>
      <c r="J83" s="2">
        <f t="shared" si="9"/>
        <v>0.4702127178203499</v>
      </c>
      <c r="K83" s="2">
        <f t="shared" si="10"/>
        <v>473.3913</v>
      </c>
      <c r="L83" s="2">
        <f t="shared" si="11"/>
        <v>162.4164679313954</v>
      </c>
      <c r="M83" s="2">
        <f t="shared" si="12"/>
        <v>145.23000000000002</v>
      </c>
      <c r="N83" s="2">
        <f t="shared" si="13"/>
        <v>10.5239163180843</v>
      </c>
      <c r="O83" s="2">
        <f t="shared" si="14"/>
        <v>1.7473000000000001</v>
      </c>
      <c r="P83" s="2">
        <f t="shared" si="15"/>
        <v>6.9380905154084072E-2</v>
      </c>
      <c r="Q83" s="3">
        <v>1400</v>
      </c>
      <c r="R83" s="2">
        <v>6</v>
      </c>
      <c r="S83" s="2">
        <v>20.6</v>
      </c>
    </row>
    <row r="84" spans="5:19" ht="18" x14ac:dyDescent="0.25">
      <c r="E84" s="1">
        <v>0.33</v>
      </c>
      <c r="F84" s="1">
        <v>0.34</v>
      </c>
      <c r="G84" s="1">
        <v>0</v>
      </c>
      <c r="H84" s="1">
        <v>0.33</v>
      </c>
      <c r="I84" s="1">
        <f t="shared" si="8"/>
        <v>2.67</v>
      </c>
      <c r="J84" s="2">
        <f t="shared" si="9"/>
        <v>0.4702127178203499</v>
      </c>
      <c r="K84" s="2">
        <f t="shared" si="10"/>
        <v>473.3913</v>
      </c>
      <c r="L84" s="2">
        <f t="shared" si="11"/>
        <v>162.4164679313954</v>
      </c>
      <c r="M84" s="2">
        <f t="shared" si="12"/>
        <v>145.23000000000002</v>
      </c>
      <c r="N84" s="2">
        <f t="shared" si="13"/>
        <v>10.5239163180843</v>
      </c>
      <c r="O84" s="2">
        <f t="shared" si="14"/>
        <v>1.7473000000000001</v>
      </c>
      <c r="P84" s="2">
        <f t="shared" si="15"/>
        <v>6.9380905154084072E-2</v>
      </c>
      <c r="Q84" s="3">
        <v>1500</v>
      </c>
      <c r="R84" s="2">
        <v>6</v>
      </c>
      <c r="S84" s="2">
        <v>33.5</v>
      </c>
    </row>
    <row r="85" spans="5:19" ht="18" x14ac:dyDescent="0.25">
      <c r="E85" s="1">
        <v>0.17</v>
      </c>
      <c r="F85" s="1">
        <v>0.17</v>
      </c>
      <c r="G85" s="1">
        <v>0</v>
      </c>
      <c r="H85" s="1">
        <v>0.66</v>
      </c>
      <c r="I85" s="1">
        <f t="shared" si="8"/>
        <v>2.34</v>
      </c>
      <c r="J85" s="2">
        <f t="shared" si="9"/>
        <v>0.47370877129308042</v>
      </c>
      <c r="K85" s="2">
        <f t="shared" si="10"/>
        <v>581.721</v>
      </c>
      <c r="L85" s="2">
        <f t="shared" si="11"/>
        <v>158.95622902233177</v>
      </c>
      <c r="M85" s="2">
        <f t="shared" si="12"/>
        <v>139.78</v>
      </c>
      <c r="N85" s="2">
        <f t="shared" si="13"/>
        <v>8.8170203329155949</v>
      </c>
      <c r="O85" s="2">
        <f t="shared" si="14"/>
        <v>1.6993</v>
      </c>
      <c r="P85" s="2">
        <f t="shared" si="15"/>
        <v>6.9242400305015481E-2</v>
      </c>
      <c r="Q85" s="3">
        <v>1400</v>
      </c>
      <c r="R85" s="2">
        <v>6</v>
      </c>
      <c r="S85" s="2">
        <v>92.3</v>
      </c>
    </row>
    <row r="86" spans="5:19" ht="18" x14ac:dyDescent="0.25">
      <c r="E86" s="1">
        <v>0.17</v>
      </c>
      <c r="F86" s="1">
        <v>0.17</v>
      </c>
      <c r="G86" s="1">
        <v>0</v>
      </c>
      <c r="H86" s="1">
        <v>0.66</v>
      </c>
      <c r="I86" s="1">
        <f t="shared" si="8"/>
        <v>2.34</v>
      </c>
      <c r="J86" s="2">
        <f t="shared" si="9"/>
        <v>0.47370877129308042</v>
      </c>
      <c r="K86" s="2">
        <f t="shared" si="10"/>
        <v>581.721</v>
      </c>
      <c r="L86" s="2">
        <f t="shared" si="11"/>
        <v>158.95622902233177</v>
      </c>
      <c r="M86" s="2">
        <f t="shared" si="12"/>
        <v>139.78</v>
      </c>
      <c r="N86" s="2">
        <f t="shared" si="13"/>
        <v>8.8170203329155949</v>
      </c>
      <c r="O86" s="2">
        <f t="shared" si="14"/>
        <v>1.6993</v>
      </c>
      <c r="P86" s="2">
        <f t="shared" si="15"/>
        <v>6.9242400305015481E-2</v>
      </c>
      <c r="Q86" s="3">
        <v>1500</v>
      </c>
      <c r="R86" s="2">
        <v>6</v>
      </c>
      <c r="S86" s="2">
        <v>30.8</v>
      </c>
    </row>
    <row r="87" spans="5:19" ht="18" x14ac:dyDescent="0.25">
      <c r="E87" s="1">
        <v>0.83</v>
      </c>
      <c r="F87" s="1">
        <v>0</v>
      </c>
      <c r="G87" s="1">
        <v>0</v>
      </c>
      <c r="H87" s="1">
        <v>0.17</v>
      </c>
      <c r="I87" s="1">
        <f t="shared" si="8"/>
        <v>2.8299999999999996</v>
      </c>
      <c r="J87" s="2">
        <f t="shared" si="9"/>
        <v>0.375632799419859</v>
      </c>
      <c r="K87" s="2">
        <f t="shared" si="10"/>
        <v>474.44810000000001</v>
      </c>
      <c r="L87" s="2">
        <f t="shared" si="11"/>
        <v>98.765131951463502</v>
      </c>
      <c r="M87" s="2">
        <f t="shared" si="12"/>
        <v>161.38999999999999</v>
      </c>
      <c r="N87" s="2">
        <f t="shared" si="13"/>
        <v>7.6807004032810919</v>
      </c>
      <c r="O87" s="2">
        <f t="shared" si="14"/>
        <v>1.7579</v>
      </c>
      <c r="P87" s="2">
        <f t="shared" si="15"/>
        <v>4.8832263924581711E-2</v>
      </c>
      <c r="Q87" s="3">
        <v>1500</v>
      </c>
      <c r="R87" s="2">
        <v>15</v>
      </c>
      <c r="S87" s="2">
        <v>2.1</v>
      </c>
    </row>
    <row r="88" spans="5:19" ht="18" x14ac:dyDescent="0.25">
      <c r="E88" s="1">
        <v>0.92</v>
      </c>
      <c r="F88" s="1">
        <v>0</v>
      </c>
      <c r="G88" s="1">
        <v>0</v>
      </c>
      <c r="H88" s="1">
        <v>0.08</v>
      </c>
      <c r="I88" s="1">
        <f t="shared" si="8"/>
        <v>2.9200000000000004</v>
      </c>
      <c r="J88" s="2">
        <f t="shared" si="9"/>
        <v>0.27129319932501073</v>
      </c>
      <c r="K88" s="2">
        <f t="shared" si="10"/>
        <v>450.78440000000001</v>
      </c>
      <c r="L88" s="2">
        <f t="shared" si="11"/>
        <v>71.331120898525057</v>
      </c>
      <c r="M88" s="2">
        <f t="shared" si="12"/>
        <v>164.36</v>
      </c>
      <c r="N88" s="2">
        <f t="shared" si="13"/>
        <v>5.4469917119283027</v>
      </c>
      <c r="O88" s="2">
        <f t="shared" si="14"/>
        <v>1.7696000000000001</v>
      </c>
      <c r="P88" s="2">
        <f t="shared" si="15"/>
        <v>3.526811591225143E-2</v>
      </c>
      <c r="Q88" s="3">
        <v>1400</v>
      </c>
      <c r="R88" s="2">
        <v>20</v>
      </c>
      <c r="S88" s="2">
        <v>2.1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程诺 程</dc:creator>
  <cp:lastModifiedBy>程诺 程</cp:lastModifiedBy>
  <dcterms:created xsi:type="dcterms:W3CDTF">2025-10-14T02:11:43Z</dcterms:created>
  <dcterms:modified xsi:type="dcterms:W3CDTF">2025-10-15T16:28:49Z</dcterms:modified>
</cp:coreProperties>
</file>